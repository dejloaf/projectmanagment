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C343C0C-69F8-46F4-9A62-90CC884A4F3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E36" i="1"/>
  <c r="D39" i="1"/>
  <c r="D37" i="1"/>
  <c r="D36" i="1"/>
  <c r="C36" i="1"/>
  <c r="C32" i="1"/>
  <c r="E29" i="1"/>
  <c r="B30" i="1"/>
  <c r="D32" i="1"/>
  <c r="D30" i="1"/>
  <c r="D29" i="1"/>
  <c r="E23" i="1"/>
  <c r="E22" i="1"/>
  <c r="D25" i="1"/>
  <c r="D23" i="1"/>
  <c r="D22" i="1"/>
  <c r="B23" i="1"/>
  <c r="D15" i="1" l="1"/>
  <c r="B18" i="1"/>
  <c r="B16" i="1"/>
  <c r="B19" i="1" s="1"/>
  <c r="B46" i="1" s="1"/>
  <c r="D8" i="1"/>
  <c r="C8" i="1"/>
  <c r="D6" i="1"/>
  <c r="E5" i="1"/>
  <c r="E9" i="1" s="1"/>
  <c r="L7" i="1" s="1"/>
  <c r="D5" i="1"/>
  <c r="C5" i="1"/>
  <c r="B9" i="1"/>
  <c r="I6" i="1" s="1"/>
  <c r="B40" i="1"/>
  <c r="B67" i="1" s="1"/>
  <c r="E40" i="1"/>
  <c r="D40" i="1"/>
  <c r="D69" i="1" s="1"/>
  <c r="C40" i="1"/>
  <c r="D33" i="1"/>
  <c r="D62" i="1" s="1"/>
  <c r="D26" i="1"/>
  <c r="D55" i="1" s="1"/>
  <c r="B26" i="1"/>
  <c r="B53" i="1" s="1"/>
  <c r="C19" i="1"/>
  <c r="D18" i="1"/>
  <c r="D16" i="1"/>
  <c r="D70" i="1" l="1"/>
  <c r="D61" i="1"/>
  <c r="D60" i="1"/>
  <c r="D56" i="1"/>
  <c r="C9" i="1"/>
  <c r="J7" i="1" s="1"/>
  <c r="D54" i="1"/>
  <c r="C68" i="1"/>
  <c r="C69" i="1"/>
  <c r="B47" i="1"/>
  <c r="E70" i="1"/>
  <c r="E69" i="1"/>
  <c r="E68" i="1"/>
  <c r="B48" i="1"/>
  <c r="C47" i="1"/>
  <c r="C48" i="1"/>
  <c r="C49" i="1"/>
  <c r="C46" i="1"/>
  <c r="B55" i="1"/>
  <c r="B56" i="1"/>
  <c r="B69" i="1"/>
  <c r="B68" i="1"/>
  <c r="B70" i="1"/>
  <c r="C67" i="1"/>
  <c r="B49" i="1"/>
  <c r="C70" i="1"/>
  <c r="E67" i="1"/>
  <c r="D9" i="1"/>
  <c r="K7" i="1" s="1"/>
  <c r="D67" i="1"/>
  <c r="D53" i="1"/>
  <c r="B54" i="1"/>
  <c r="D63" i="1"/>
  <c r="D68" i="1"/>
  <c r="L5" i="1"/>
  <c r="L8" i="1"/>
  <c r="L6" i="1"/>
  <c r="I8" i="1"/>
  <c r="I5" i="1"/>
  <c r="I7" i="1"/>
  <c r="E26" i="1"/>
  <c r="E33" i="1"/>
  <c r="H22" i="1" a="1"/>
  <c r="C26" i="1"/>
  <c r="D19" i="1"/>
  <c r="D48" i="1" s="1"/>
  <c r="E19" i="1"/>
  <c r="B33" i="1"/>
  <c r="B60" i="1" s="1"/>
  <c r="C33" i="1"/>
  <c r="H36" i="1" a="1"/>
  <c r="H15" i="1" a="1"/>
  <c r="H29" i="1" a="1"/>
  <c r="J6" i="1" l="1"/>
  <c r="J5" i="1"/>
  <c r="J8" i="1"/>
  <c r="K6" i="1"/>
  <c r="F70" i="1"/>
  <c r="E80" i="1" s="1"/>
  <c r="D47" i="1"/>
  <c r="K5" i="1"/>
  <c r="K8" i="1"/>
  <c r="M8" i="1" s="1"/>
  <c r="H80" i="1" s="1"/>
  <c r="D46" i="1"/>
  <c r="E48" i="1"/>
  <c r="E46" i="1"/>
  <c r="E49" i="1"/>
  <c r="E47" i="1"/>
  <c r="I9" i="1"/>
  <c r="E62" i="1"/>
  <c r="E63" i="1"/>
  <c r="E61" i="1"/>
  <c r="E60" i="1"/>
  <c r="E55" i="1"/>
  <c r="E56" i="1"/>
  <c r="E54" i="1"/>
  <c r="E53" i="1"/>
  <c r="C60" i="1"/>
  <c r="C61" i="1"/>
  <c r="C62" i="1"/>
  <c r="C63" i="1"/>
  <c r="F68" i="1"/>
  <c r="E78" i="1" s="1"/>
  <c r="B62" i="1"/>
  <c r="B63" i="1"/>
  <c r="B61" i="1"/>
  <c r="F67" i="1"/>
  <c r="E77" i="1" s="1"/>
  <c r="F69" i="1"/>
  <c r="E79" i="1" s="1"/>
  <c r="L9" i="1"/>
  <c r="D49" i="1"/>
  <c r="C56" i="1"/>
  <c r="C55" i="1"/>
  <c r="C54" i="1"/>
  <c r="C53" i="1"/>
  <c r="J9" i="1"/>
  <c r="H23" i="1"/>
  <c r="H25" i="1"/>
  <c r="H24" i="1"/>
  <c r="H22" i="1"/>
  <c r="H39" i="1"/>
  <c r="H38" i="1"/>
  <c r="H36" i="1"/>
  <c r="H37" i="1"/>
  <c r="H29" i="1"/>
  <c r="H32" i="1"/>
  <c r="H31" i="1"/>
  <c r="H30" i="1"/>
  <c r="H16" i="1"/>
  <c r="H18" i="1"/>
  <c r="H17" i="1"/>
  <c r="H15" i="1"/>
  <c r="F54" i="1" l="1"/>
  <c r="C78" i="1" s="1"/>
  <c r="F53" i="1"/>
  <c r="C77" i="1" s="1"/>
  <c r="K9" i="1"/>
  <c r="F46" i="1"/>
  <c r="B77" i="1" s="1"/>
  <c r="F55" i="1"/>
  <c r="C79" i="1" s="1"/>
  <c r="F61" i="1"/>
  <c r="D78" i="1" s="1"/>
  <c r="F63" i="1"/>
  <c r="D80" i="1" s="1"/>
  <c r="F60" i="1"/>
  <c r="D77" i="1" s="1"/>
  <c r="F62" i="1"/>
  <c r="D79" i="1" s="1"/>
  <c r="F56" i="1"/>
  <c r="C80" i="1" s="1"/>
  <c r="F47" i="1"/>
  <c r="B78" i="1" s="1"/>
  <c r="F48" i="1"/>
  <c r="B79" i="1" s="1"/>
  <c r="F49" i="1"/>
  <c r="B80" i="1" s="1"/>
  <c r="I22" i="1" a="1"/>
  <c r="I22" i="1" s="1"/>
  <c r="J22" i="1" s="1"/>
  <c r="M6" i="1"/>
  <c r="H78" i="1" s="1"/>
  <c r="M5" i="1"/>
  <c r="H77" i="1" s="1"/>
  <c r="M7" i="1"/>
  <c r="H79" i="1" s="1"/>
  <c r="I36" i="1" a="1"/>
  <c r="I36" i="1" s="1"/>
  <c r="J36" i="1" s="1"/>
  <c r="I29" i="1" a="1"/>
  <c r="I29" i="1" s="1"/>
  <c r="J29" i="1" s="1"/>
  <c r="I15" i="1" a="1"/>
  <c r="I15" i="1" s="1"/>
  <c r="J15" i="1" s="1"/>
  <c r="M9" i="1" l="1"/>
  <c r="B83" i="1" a="1"/>
  <c r="B8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<sst xmlns="http://schemas.openxmlformats.org/spreadsheetml/2006/main" count="137" uniqueCount="37">
  <si>
    <t>Концепции</t>
  </si>
  <si>
    <t>A</t>
  </si>
  <si>
    <t>B</t>
  </si>
  <si>
    <t>C</t>
  </si>
  <si>
    <t>D</t>
  </si>
  <si>
    <t>Сумма</t>
  </si>
  <si>
    <t>Критерии</t>
  </si>
  <si>
    <t>Нормировка</t>
  </si>
  <si>
    <t>е</t>
  </si>
  <si>
    <t>р</t>
  </si>
  <si>
    <r>
      <rPr>
        <sz val="11"/>
        <color rgb="FF000000"/>
        <rFont val="Arial"/>
        <family val="2"/>
      </rPr>
      <t>λ</t>
    </r>
    <r>
      <rPr>
        <sz val="10"/>
        <color rgb="FF000000"/>
        <rFont val="Arial"/>
        <family val="2"/>
      </rPr>
      <t>max</t>
    </r>
  </si>
  <si>
    <t>И</t>
  </si>
  <si>
    <t>Уровень конкуренции.</t>
  </si>
  <si>
    <t>Техническая осуществимость (Technical Feasibility)</t>
  </si>
  <si>
    <t>Окупаемость проекта по времени.</t>
  </si>
  <si>
    <t>Простота использования (Usability)</t>
  </si>
  <si>
    <t>Критерии важности</t>
  </si>
  <si>
    <t>2,4,6,8</t>
  </si>
  <si>
    <t>Промежуточные</t>
  </si>
  <si>
    <t>Немного важнее</t>
  </si>
  <si>
    <t>Значительно важнее</t>
  </si>
  <si>
    <t>Сильно важнее</t>
  </si>
  <si>
    <t>Исключительно важен</t>
  </si>
  <si>
    <t>Ранг</t>
  </si>
  <si>
    <t>Веса</t>
  </si>
  <si>
    <t>Нормированная матрица парных сравнений</t>
  </si>
  <si>
    <t>Матрица парных сравнений</t>
  </si>
  <si>
    <t>Уровень конкуренции</t>
  </si>
  <si>
    <t xml:space="preserve">Техническая осуществимость </t>
  </si>
  <si>
    <t>Окупаемость</t>
  </si>
  <si>
    <t>Простота использования</t>
  </si>
  <si>
    <t>Веса альтернатив</t>
  </si>
  <si>
    <t>Равнозначен</t>
  </si>
  <si>
    <t>StudyFlow</t>
  </si>
  <si>
    <t>SkillTrack</t>
  </si>
  <si>
    <t>SmartExpense</t>
  </si>
  <si>
    <t>EventHub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</si>
</sst>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10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6"/>
      <color theme="1"/>
      <name val="Helvetica Neue"/>
      <family val="2"/>
      <charset val="204"/>
    </font>
    <font>
      <sz val="10"/>
      <color rgb="FF000000"/>
      <name val="Arial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color theme="1"/>
      <name val="Arial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000000"/>
      <name val="Symbol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6" fillId="0" borderId="0" xfId="0" applyFont="1" applyFill="1" applyAlignment="1">
      <alignment horizontal="right"/>
    </xf>
    <xf numFmtId="0" fontId="7" fillId="0" borderId="0" xfId="0" applyFont="1" applyFill="1"/>
    <xf numFmtId="0" fontId="4" fillId="0" borderId="0" xfId="0" applyFont="1" applyFill="1" applyAlignment="1"/>
    <xf numFmtId="0" fontId="5" fillId="0" borderId="0" xfId="0" applyFont="1" applyFill="1"/>
    <xf numFmtId="0" fontId="6" fillId="0" borderId="3" xfId="0" applyFont="1" applyFill="1" applyBorder="1" applyAlignment="1">
      <alignment horizontal="right"/>
    </xf>
    <xf numFmtId="0" fontId="6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1" xfId="0" applyFont="1" applyFill="1" applyBorder="1"/>
    <xf numFmtId="0" fontId="8" fillId="0" borderId="0" xfId="0" applyFont="1" applyFill="1"/>
    <xf numFmtId="4" fontId="6" fillId="0" borderId="3" xfId="0" applyNumberFormat="1" applyFont="1" applyFill="1" applyBorder="1" applyAlignment="1">
      <alignment horizontal="right"/>
    </xf>
    <xf numFmtId="4" fontId="6" fillId="0" borderId="3" xfId="0" applyNumberFormat="1" applyFont="1" applyFill="1" applyBorder="1"/>
    <xf numFmtId="4" fontId="6" fillId="0" borderId="0" xfId="0" applyNumberFormat="1" applyFont="1" applyFill="1"/>
    <xf numFmtId="164" fontId="7" fillId="0" borderId="3" xfId="0" applyNumberFormat="1" applyFont="1" applyFill="1" applyBorder="1"/>
    <xf numFmtId="10" fontId="7" fillId="0" borderId="0" xfId="0" applyNumberFormat="1" applyFont="1" applyFill="1"/>
    <xf numFmtId="0" fontId="8" fillId="0" borderId="0" xfId="0" applyFont="1" applyFill="1" applyAlignment="1">
      <alignment horizontal="center"/>
    </xf>
    <xf numFmtId="4" fontId="7" fillId="0" borderId="3" xfId="0" applyNumberFormat="1" applyFont="1" applyFill="1" applyBorder="1"/>
    <xf numFmtId="4" fontId="7" fillId="0" borderId="0" xfId="0" applyNumberFormat="1" applyFont="1" applyFill="1"/>
    <xf numFmtId="164" fontId="7" fillId="0" borderId="0" xfId="0" applyNumberFormat="1" applyFont="1" applyFill="1"/>
    <xf numFmtId="0" fontId="7" fillId="0" borderId="0" xfId="0" applyFont="1" applyFill="1" applyAlignment="1">
      <alignment horizontal="center"/>
    </xf>
    <xf numFmtId="0" fontId="5" fillId="0" borderId="0" xfId="0" applyFont="1" applyFill="1"/>
    <xf numFmtId="0" fontId="8" fillId="0" borderId="0" xfId="0" applyFont="1" applyFill="1" applyAlignment="1">
      <alignment horizontal="right"/>
    </xf>
    <xf numFmtId="0" fontId="7" fillId="0" borderId="3" xfId="0" applyFont="1" applyFill="1" applyBorder="1" applyAlignment="1">
      <alignment horizontal="center" vertical="top"/>
    </xf>
    <xf numFmtId="0" fontId="6" fillId="0" borderId="2" xfId="0" applyFont="1" applyFill="1" applyBorder="1"/>
    <xf numFmtId="0" fontId="9" fillId="0" borderId="2" xfId="0" applyFont="1" applyFill="1" applyBorder="1"/>
    <xf numFmtId="0" fontId="6" fillId="0" borderId="2" xfId="0" applyFont="1" applyFill="1" applyBorder="1" applyAlignment="1">
      <alignment horizontal="right"/>
    </xf>
    <xf numFmtId="0" fontId="8" fillId="0" borderId="3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right"/>
    </xf>
    <xf numFmtId="0" fontId="5" fillId="0" borderId="3" xfId="0" applyFont="1" applyFill="1" applyBorder="1" applyAlignment="1">
      <alignment horizontal="center"/>
    </xf>
    <xf numFmtId="0" fontId="5" fillId="0" borderId="3" xfId="0" applyFont="1" applyFill="1" applyBorder="1"/>
    <xf numFmtId="0" fontId="5" fillId="0" borderId="3" xfId="0" applyFont="1" applyFill="1" applyBorder="1" applyAlignment="1">
      <alignment horizontal="right" vertical="center"/>
    </xf>
    <xf numFmtId="0" fontId="7" fillId="0" borderId="3" xfId="0" applyFont="1" applyFill="1" applyBorder="1" applyAlignment="1">
      <alignment horizontal="center"/>
    </xf>
    <xf numFmtId="0" fontId="7" fillId="0" borderId="3" xfId="0" applyFont="1" applyFill="1" applyBorder="1"/>
    <xf numFmtId="165" fontId="7" fillId="0" borderId="3" xfId="0" applyNumberFormat="1" applyFont="1" applyFill="1" applyBorder="1"/>
    <xf numFmtId="2" fontId="7" fillId="0" borderId="3" xfId="0" applyNumberFormat="1" applyFont="1" applyFill="1" applyBorder="1"/>
    <xf numFmtId="0" fontId="1" fillId="0" borderId="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W86"/>
  <sheetViews>
    <sheetView tabSelected="1" zoomScale="94" workbookViewId="0">
      <selection activeCell="H3" sqref="H3:M3"/>
    </sheetView>
  </sheetViews>
  <sheetFormatPr defaultColWidth="12.6328125" defaultRowHeight="15.75" customHeight="1"/>
  <cols>
    <col min="1" max="1" width="27.453125" style="4" customWidth="1"/>
    <col min="2" max="11" width="12.6328125" style="4"/>
    <col min="12" max="12" width="13.81640625" style="4" customWidth="1"/>
    <col min="13" max="14" width="12.6328125" style="4"/>
    <col min="15" max="15" width="13.08984375" style="4" customWidth="1"/>
    <col min="16" max="17" width="12.6328125" style="4"/>
    <col min="18" max="18" width="13.81640625" style="4" customWidth="1"/>
    <col min="19" max="16384" width="12.6328125" style="4"/>
  </cols>
  <sheetData>
    <row r="3" spans="1:23" ht="15.75" customHeight="1">
      <c r="A3" s="43" t="s">
        <v>26</v>
      </c>
      <c r="B3" s="43"/>
      <c r="C3" s="43"/>
      <c r="D3" s="43"/>
      <c r="E3" s="43"/>
      <c r="F3" s="3"/>
      <c r="H3" s="43" t="s">
        <v>25</v>
      </c>
      <c r="I3" s="43"/>
      <c r="J3" s="43"/>
      <c r="K3" s="43"/>
      <c r="L3" s="43"/>
      <c r="M3" s="43"/>
    </row>
    <row r="4" spans="1:23" ht="14.5">
      <c r="A4" s="5"/>
      <c r="B4" s="6">
        <v>1</v>
      </c>
      <c r="C4" s="6">
        <v>2</v>
      </c>
      <c r="D4" s="6">
        <v>3</v>
      </c>
      <c r="E4" s="6">
        <v>4</v>
      </c>
      <c r="F4" s="1"/>
      <c r="H4" s="7"/>
      <c r="I4" s="7">
        <v>1</v>
      </c>
      <c r="J4" s="7">
        <v>2</v>
      </c>
      <c r="K4" s="7">
        <v>3</v>
      </c>
      <c r="L4" s="7">
        <v>4</v>
      </c>
      <c r="M4" s="7" t="s">
        <v>24</v>
      </c>
      <c r="N4" s="2"/>
      <c r="O4" s="2"/>
      <c r="S4" s="8"/>
      <c r="T4" s="9"/>
      <c r="U4" s="9"/>
      <c r="V4" s="9"/>
      <c r="W4" s="9"/>
    </row>
    <row r="5" spans="1:23" ht="14.5">
      <c r="A5" s="6">
        <v>1</v>
      </c>
      <c r="B5" s="10">
        <v>1</v>
      </c>
      <c r="C5" s="11">
        <f>1/B6</f>
        <v>0.25</v>
      </c>
      <c r="D5" s="11">
        <f>1/B7</f>
        <v>0.14285714285714285</v>
      </c>
      <c r="E5" s="11">
        <f>1/B8</f>
        <v>0.33333333333333331</v>
      </c>
      <c r="F5" s="12"/>
      <c r="H5" s="7">
        <v>1</v>
      </c>
      <c r="I5" s="13">
        <f>B5/$B$9</f>
        <v>6.6666666666666666E-2</v>
      </c>
      <c r="J5" s="13">
        <f>C5/$C$9</f>
        <v>4.3478260869565216E-2</v>
      </c>
      <c r="K5" s="13">
        <f>D5/$D$9</f>
        <v>9.3023255813953487E-2</v>
      </c>
      <c r="L5" s="13">
        <f>E5/$E$9</f>
        <v>3.2258064516129031E-2</v>
      </c>
      <c r="M5" s="13">
        <f>AVERAGE(I5:L5)</f>
        <v>5.8856561966578604E-2</v>
      </c>
      <c r="N5" s="14"/>
      <c r="O5" s="14"/>
      <c r="S5" s="15"/>
      <c r="T5" s="9"/>
      <c r="U5" s="9"/>
      <c r="V5" s="9"/>
      <c r="W5" s="9"/>
    </row>
    <row r="6" spans="1:23" ht="14.5">
      <c r="A6" s="6">
        <v>2</v>
      </c>
      <c r="B6" s="11">
        <v>4</v>
      </c>
      <c r="C6" s="10">
        <v>1</v>
      </c>
      <c r="D6" s="11">
        <f>1/C7</f>
        <v>0.25</v>
      </c>
      <c r="E6" s="11">
        <v>2</v>
      </c>
      <c r="F6" s="12"/>
      <c r="H6" s="7">
        <v>2</v>
      </c>
      <c r="I6" s="13">
        <f t="shared" ref="I6:I8" si="0">B6/$B$9</f>
        <v>0.26666666666666666</v>
      </c>
      <c r="J6" s="13">
        <f t="shared" ref="J6:J8" si="1">C6/$C$9</f>
        <v>0.17391304347826086</v>
      </c>
      <c r="K6" s="13">
        <f t="shared" ref="K6:K8" si="2">D6/$D$9</f>
        <v>0.16279069767441862</v>
      </c>
      <c r="L6" s="13">
        <f t="shared" ref="L6:L8" si="3">E6/$E$9</f>
        <v>0.19354838709677419</v>
      </c>
      <c r="M6" s="13">
        <f t="shared" ref="M6:M8" si="4">AVERAGE(I6:L6)</f>
        <v>0.19922969872903007</v>
      </c>
      <c r="N6" s="14"/>
      <c r="O6" s="14"/>
      <c r="S6" s="15"/>
      <c r="T6" s="9"/>
      <c r="U6" s="9"/>
      <c r="V6" s="9"/>
      <c r="W6" s="9"/>
    </row>
    <row r="7" spans="1:23" ht="15.75" customHeight="1">
      <c r="A7" s="6">
        <v>3</v>
      </c>
      <c r="B7" s="11">
        <v>7</v>
      </c>
      <c r="C7" s="11">
        <v>4</v>
      </c>
      <c r="D7" s="10">
        <v>1</v>
      </c>
      <c r="E7" s="11">
        <v>7</v>
      </c>
      <c r="F7" s="12"/>
      <c r="H7" s="7">
        <v>3</v>
      </c>
      <c r="I7" s="13">
        <f t="shared" si="0"/>
        <v>0.46666666666666667</v>
      </c>
      <c r="J7" s="13">
        <f t="shared" si="1"/>
        <v>0.69565217391304346</v>
      </c>
      <c r="K7" s="13">
        <f t="shared" si="2"/>
        <v>0.65116279069767447</v>
      </c>
      <c r="L7" s="13">
        <f t="shared" si="3"/>
        <v>0.67741935483870963</v>
      </c>
      <c r="M7" s="13">
        <f t="shared" si="4"/>
        <v>0.62272524652902361</v>
      </c>
      <c r="N7" s="14"/>
      <c r="O7" s="14"/>
      <c r="S7" s="15"/>
      <c r="U7" s="9"/>
      <c r="V7" s="9"/>
      <c r="W7" s="9"/>
    </row>
    <row r="8" spans="1:23" ht="14.5">
      <c r="A8" s="6">
        <v>4</v>
      </c>
      <c r="B8" s="11">
        <v>3</v>
      </c>
      <c r="C8" s="11">
        <f>1/E6</f>
        <v>0.5</v>
      </c>
      <c r="D8" s="11">
        <f>1/E7</f>
        <v>0.14285714285714285</v>
      </c>
      <c r="E8" s="10">
        <v>1</v>
      </c>
      <c r="F8" s="12"/>
      <c r="H8" s="7">
        <v>4</v>
      </c>
      <c r="I8" s="13">
        <f t="shared" si="0"/>
        <v>0.2</v>
      </c>
      <c r="J8" s="13">
        <f t="shared" si="1"/>
        <v>8.6956521739130432E-2</v>
      </c>
      <c r="K8" s="13">
        <f t="shared" si="2"/>
        <v>9.3023255813953487E-2</v>
      </c>
      <c r="L8" s="13">
        <f t="shared" si="3"/>
        <v>9.6774193548387094E-2</v>
      </c>
      <c r="M8" s="13">
        <f t="shared" si="4"/>
        <v>0.11918849277536775</v>
      </c>
      <c r="N8" s="14"/>
      <c r="O8" s="14"/>
      <c r="S8" s="15"/>
      <c r="U8" s="9"/>
      <c r="V8" s="9"/>
      <c r="W8" s="9"/>
    </row>
    <row r="9" spans="1:23" ht="14.5">
      <c r="A9" s="7" t="s">
        <v>5</v>
      </c>
      <c r="B9" s="16">
        <f t="shared" ref="B9:E9" si="5">SUM(B5:B8)</f>
        <v>15</v>
      </c>
      <c r="C9" s="16">
        <f t="shared" si="5"/>
        <v>5.75</v>
      </c>
      <c r="D9" s="16">
        <f t="shared" si="5"/>
        <v>1.5357142857142856</v>
      </c>
      <c r="E9" s="16">
        <f t="shared" si="5"/>
        <v>10.333333333333334</v>
      </c>
      <c r="F9" s="17"/>
      <c r="H9" s="7" t="s">
        <v>5</v>
      </c>
      <c r="I9" s="13">
        <f t="shared" ref="I9:L9" si="6">SUM(I5:I8)</f>
        <v>1</v>
      </c>
      <c r="J9" s="13">
        <f t="shared" si="6"/>
        <v>1</v>
      </c>
      <c r="K9" s="13">
        <f t="shared" si="6"/>
        <v>1</v>
      </c>
      <c r="L9" s="13">
        <f t="shared" si="6"/>
        <v>1</v>
      </c>
      <c r="M9" s="13">
        <f>SUM(M5:M8)</f>
        <v>1</v>
      </c>
      <c r="N9" s="18"/>
      <c r="O9" s="14"/>
      <c r="S9" s="9"/>
      <c r="T9" s="9"/>
      <c r="U9" s="9"/>
      <c r="V9" s="9"/>
      <c r="W9" s="9"/>
    </row>
    <row r="10" spans="1:23" ht="14.5">
      <c r="A10" s="2"/>
      <c r="B10" s="17"/>
      <c r="C10" s="17"/>
      <c r="D10" s="17"/>
      <c r="E10" s="17"/>
      <c r="F10" s="17"/>
      <c r="S10" s="8"/>
      <c r="T10" s="9"/>
      <c r="U10" s="9"/>
      <c r="V10" s="9"/>
      <c r="W10" s="9"/>
    </row>
    <row r="11" spans="1:23" ht="14.5">
      <c r="A11" s="2"/>
      <c r="B11" s="17"/>
      <c r="C11" s="17"/>
      <c r="D11" s="17"/>
      <c r="E11" s="17"/>
      <c r="F11" s="17"/>
      <c r="S11" s="8"/>
      <c r="T11" s="9"/>
      <c r="U11" s="9"/>
      <c r="V11" s="9"/>
      <c r="W11" s="9"/>
    </row>
    <row r="12" spans="1:23" ht="14.5">
      <c r="A12" s="2"/>
      <c r="B12" s="17"/>
      <c r="C12" s="17"/>
      <c r="D12" s="17"/>
      <c r="E12" s="17"/>
      <c r="F12" s="17"/>
      <c r="S12" s="8"/>
      <c r="T12" s="9"/>
      <c r="U12" s="9"/>
      <c r="V12" s="9"/>
      <c r="W12" s="9"/>
    </row>
    <row r="13" spans="1:23" ht="15.75" customHeight="1">
      <c r="M13" s="19"/>
      <c r="N13" s="20"/>
      <c r="O13" s="20"/>
      <c r="P13" s="20"/>
      <c r="S13" s="21"/>
      <c r="U13" s="9"/>
      <c r="V13" s="9"/>
      <c r="W13" s="9"/>
    </row>
    <row r="14" spans="1:23" ht="14.5">
      <c r="A14" s="7" t="s">
        <v>27</v>
      </c>
      <c r="B14" s="22" t="s">
        <v>1</v>
      </c>
      <c r="C14" s="22" t="s">
        <v>2</v>
      </c>
      <c r="D14" s="22" t="s">
        <v>3</v>
      </c>
      <c r="E14" s="22" t="s">
        <v>4</v>
      </c>
      <c r="G14" s="23" t="s">
        <v>8</v>
      </c>
      <c r="H14" s="23" t="s">
        <v>9</v>
      </c>
      <c r="I14" s="24" t="s">
        <v>10</v>
      </c>
      <c r="J14" s="23" t="s">
        <v>11</v>
      </c>
      <c r="L14" s="2"/>
      <c r="M14" s="2"/>
      <c r="N14" s="2"/>
      <c r="O14" s="2"/>
      <c r="P14" s="2"/>
      <c r="Q14" s="2"/>
      <c r="R14" s="2"/>
      <c r="S14" s="21"/>
      <c r="U14" s="9"/>
      <c r="V14" s="9"/>
      <c r="W14" s="9"/>
    </row>
    <row r="15" spans="1:23" ht="14.5">
      <c r="A15" s="7" t="s">
        <v>1</v>
      </c>
      <c r="B15" s="16">
        <v>1</v>
      </c>
      <c r="C15" s="16">
        <v>3</v>
      </c>
      <c r="D15" s="16">
        <f>1/B17</f>
        <v>0.2</v>
      </c>
      <c r="E15" s="16">
        <v>4</v>
      </c>
      <c r="G15" s="25">
        <v>1</v>
      </c>
      <c r="H15" s="25">
        <f t="array" ref="H15:H18">MMULT(B15:E18,G15:G18)/MMULT(TRANSPOSE(G15:G18),MMULT(B15:E18,G15:G18))</f>
        <v>0.32220039292730845</v>
      </c>
      <c r="I15" s="25">
        <f t="array" ref="I15">MMULT(TRANSPOSE(G15:G18),MMULT(B15:E18,H15:H18))</f>
        <v>4.753110674525213</v>
      </c>
      <c r="J15" s="25">
        <f>(I15-4)/(4-1)</f>
        <v>0.2510368915084043</v>
      </c>
      <c r="L15" s="26" t="s">
        <v>0</v>
      </c>
      <c r="M15" s="26"/>
      <c r="N15" s="26"/>
      <c r="O15" s="26"/>
      <c r="P15" s="8"/>
      <c r="U15" s="9"/>
      <c r="V15" s="9"/>
      <c r="W15" s="9"/>
    </row>
    <row r="16" spans="1:23" ht="14.5">
      <c r="A16" s="7" t="s">
        <v>2</v>
      </c>
      <c r="B16" s="16">
        <f>1/C15</f>
        <v>0.33333333333333331</v>
      </c>
      <c r="C16" s="16">
        <v>1</v>
      </c>
      <c r="D16" s="16">
        <f>1/3</f>
        <v>0.33333333333333331</v>
      </c>
      <c r="E16" s="16">
        <v>1</v>
      </c>
      <c r="G16" s="25">
        <v>1</v>
      </c>
      <c r="H16" s="25">
        <v>0.10478061558611657</v>
      </c>
      <c r="I16" s="23"/>
      <c r="J16" s="23"/>
      <c r="L16" s="27" t="s">
        <v>1</v>
      </c>
      <c r="M16" s="28" t="s">
        <v>33</v>
      </c>
      <c r="N16" s="29"/>
      <c r="O16" s="30"/>
      <c r="P16" s="8"/>
      <c r="U16" s="9"/>
      <c r="V16" s="9"/>
      <c r="W16" s="9"/>
    </row>
    <row r="17" spans="1:23" ht="14.5">
      <c r="A17" s="7" t="s">
        <v>3</v>
      </c>
      <c r="B17" s="16">
        <v>5</v>
      </c>
      <c r="C17" s="16">
        <v>3</v>
      </c>
      <c r="D17" s="16">
        <v>1</v>
      </c>
      <c r="E17" s="16">
        <v>3</v>
      </c>
      <c r="G17" s="25">
        <v>1</v>
      </c>
      <c r="H17" s="25">
        <v>0.47151277013752457</v>
      </c>
      <c r="I17" s="23"/>
      <c r="J17" s="23"/>
      <c r="L17" s="27" t="s">
        <v>2</v>
      </c>
      <c r="M17" s="31" t="s">
        <v>34</v>
      </c>
      <c r="N17" s="32"/>
      <c r="O17" s="33"/>
      <c r="P17" s="8"/>
      <c r="U17" s="9"/>
      <c r="V17" s="9"/>
      <c r="W17" s="9"/>
    </row>
    <row r="18" spans="1:23" ht="14.5">
      <c r="A18" s="7" t="s">
        <v>4</v>
      </c>
      <c r="B18" s="16">
        <f>1/E15</f>
        <v>0.25</v>
      </c>
      <c r="C18" s="16">
        <v>1</v>
      </c>
      <c r="D18" s="16">
        <f>1/3</f>
        <v>0.33333333333333331</v>
      </c>
      <c r="E18" s="16">
        <v>1</v>
      </c>
      <c r="G18" s="25">
        <v>1</v>
      </c>
      <c r="H18" s="25">
        <v>0.10150622134905042</v>
      </c>
      <c r="I18" s="23"/>
      <c r="J18" s="23"/>
      <c r="L18" s="27" t="s">
        <v>3</v>
      </c>
      <c r="M18" s="28" t="s">
        <v>36</v>
      </c>
      <c r="N18" s="29"/>
      <c r="O18" s="30"/>
      <c r="P18" s="8"/>
    </row>
    <row r="19" spans="1:23" ht="15.75" customHeight="1">
      <c r="A19" s="7" t="s">
        <v>5</v>
      </c>
      <c r="B19" s="16">
        <f t="shared" ref="B19:E19" si="7">SUM(B15:B18)</f>
        <v>6.583333333333333</v>
      </c>
      <c r="C19" s="16">
        <f t="shared" si="7"/>
        <v>8</v>
      </c>
      <c r="D19" s="16">
        <f t="shared" si="7"/>
        <v>1.8666666666666665</v>
      </c>
      <c r="E19" s="16">
        <f t="shared" si="7"/>
        <v>9</v>
      </c>
      <c r="L19" s="27" t="s">
        <v>4</v>
      </c>
      <c r="M19" s="31" t="s">
        <v>35</v>
      </c>
      <c r="N19" s="32"/>
      <c r="O19" s="33"/>
      <c r="P19" s="8"/>
    </row>
    <row r="20" spans="1:23" ht="15.75" customHeight="1">
      <c r="L20" s="9"/>
      <c r="M20" s="9"/>
      <c r="N20" s="9"/>
      <c r="O20" s="9"/>
      <c r="P20" s="8"/>
    </row>
    <row r="21" spans="1:23" ht="14.5">
      <c r="A21" s="34" t="s">
        <v>28</v>
      </c>
      <c r="B21" s="7" t="s">
        <v>1</v>
      </c>
      <c r="C21" s="7" t="s">
        <v>2</v>
      </c>
      <c r="D21" s="7" t="s">
        <v>3</v>
      </c>
      <c r="E21" s="7" t="s">
        <v>4</v>
      </c>
      <c r="G21" s="23" t="s">
        <v>8</v>
      </c>
      <c r="H21" s="23" t="s">
        <v>9</v>
      </c>
      <c r="I21" s="24" t="s">
        <v>10</v>
      </c>
      <c r="J21" s="23" t="s">
        <v>11</v>
      </c>
      <c r="L21" s="26" t="s">
        <v>6</v>
      </c>
      <c r="M21" s="26"/>
      <c r="N21" s="26"/>
      <c r="O21" s="26"/>
      <c r="P21" s="31"/>
    </row>
    <row r="22" spans="1:23" ht="14.5">
      <c r="A22" s="7" t="s">
        <v>1</v>
      </c>
      <c r="B22" s="16">
        <v>1</v>
      </c>
      <c r="C22" s="16">
        <v>5</v>
      </c>
      <c r="D22" s="16">
        <f>1/B24</f>
        <v>0.1111111111111111</v>
      </c>
      <c r="E22" s="16">
        <f>1/2</f>
        <v>0.5</v>
      </c>
      <c r="G22" s="25">
        <v>1</v>
      </c>
      <c r="H22" s="25">
        <f t="array" ref="H22:H25">MMULT(B22:E25,G22:G25)/MMULT(TRANSPOSE(G22:G25),MMULT(B22:E25,G22:G25))</f>
        <v>0.19137986490833067</v>
      </c>
      <c r="I22" s="25">
        <f t="array" ref="I22">MMULT(TRANSPOSE(G22:G25),MMULT(B22:E25,H22:H25))</f>
        <v>5.066580894178192</v>
      </c>
      <c r="J22" s="25">
        <f>(I22-4)/(4-1)</f>
        <v>0.35552696472606399</v>
      </c>
      <c r="L22" s="35">
        <v>1</v>
      </c>
      <c r="M22" s="36" t="s">
        <v>12</v>
      </c>
      <c r="N22" s="36"/>
      <c r="O22" s="36"/>
      <c r="P22" s="36"/>
      <c r="R22" s="14"/>
    </row>
    <row r="23" spans="1:23" ht="14.5">
      <c r="A23" s="7" t="s">
        <v>2</v>
      </c>
      <c r="B23" s="16">
        <f>1/C22</f>
        <v>0.2</v>
      </c>
      <c r="C23" s="16">
        <v>1</v>
      </c>
      <c r="D23" s="16">
        <f>1/C24</f>
        <v>0.2</v>
      </c>
      <c r="E23" s="16">
        <f>1/5</f>
        <v>0.2</v>
      </c>
      <c r="G23" s="25">
        <v>1</v>
      </c>
      <c r="H23" s="25">
        <v>4.6317143776133808E-2</v>
      </c>
      <c r="I23" s="23"/>
      <c r="J23" s="23"/>
      <c r="L23" s="35">
        <v>2</v>
      </c>
      <c r="M23" s="36" t="s">
        <v>13</v>
      </c>
      <c r="N23" s="36"/>
      <c r="O23" s="36"/>
      <c r="P23" s="36"/>
      <c r="R23" s="14"/>
    </row>
    <row r="24" spans="1:23" ht="14.5">
      <c r="A24" s="7" t="s">
        <v>3</v>
      </c>
      <c r="B24" s="16">
        <v>9</v>
      </c>
      <c r="C24" s="16">
        <v>5</v>
      </c>
      <c r="D24" s="16">
        <v>1</v>
      </c>
      <c r="E24" s="16">
        <v>3</v>
      </c>
      <c r="G24" s="25">
        <v>1</v>
      </c>
      <c r="H24" s="25">
        <v>0.52106786748150546</v>
      </c>
      <c r="I24" s="23"/>
      <c r="J24" s="23"/>
      <c r="L24" s="35">
        <v>3</v>
      </c>
      <c r="M24" s="36" t="s">
        <v>14</v>
      </c>
      <c r="N24" s="36"/>
      <c r="O24" s="36"/>
      <c r="P24" s="36"/>
      <c r="R24" s="14"/>
    </row>
    <row r="25" spans="1:23" ht="14.5">
      <c r="A25" s="7" t="s">
        <v>4</v>
      </c>
      <c r="B25" s="16">
        <v>2</v>
      </c>
      <c r="C25" s="16">
        <v>5</v>
      </c>
      <c r="D25" s="16">
        <f>1/3</f>
        <v>0.33333333333333331</v>
      </c>
      <c r="E25" s="16">
        <v>1</v>
      </c>
      <c r="G25" s="25">
        <v>1</v>
      </c>
      <c r="H25" s="25">
        <v>0.24123512383403026</v>
      </c>
      <c r="I25" s="23"/>
      <c r="J25" s="23"/>
      <c r="L25" s="35">
        <v>4</v>
      </c>
      <c r="M25" s="36" t="s">
        <v>15</v>
      </c>
      <c r="N25" s="36"/>
      <c r="O25" s="36"/>
      <c r="P25" s="36"/>
    </row>
    <row r="26" spans="1:23" ht="15.75" customHeight="1">
      <c r="A26" s="7" t="s">
        <v>5</v>
      </c>
      <c r="B26" s="16">
        <f t="shared" ref="B26:E26" si="8">SUM(B22:B25)</f>
        <v>12.2</v>
      </c>
      <c r="C26" s="16">
        <f t="shared" si="8"/>
        <v>16</v>
      </c>
      <c r="D26" s="16">
        <f t="shared" si="8"/>
        <v>1.6444444444444444</v>
      </c>
      <c r="E26" s="16">
        <f t="shared" si="8"/>
        <v>4.7</v>
      </c>
      <c r="L26" s="21"/>
      <c r="M26" s="9"/>
      <c r="N26" s="9"/>
      <c r="O26" s="9"/>
      <c r="P26" s="9"/>
    </row>
    <row r="27" spans="1:23" ht="15.75" customHeight="1">
      <c r="L27" s="36" t="s">
        <v>16</v>
      </c>
      <c r="M27" s="36"/>
      <c r="N27" s="36"/>
    </row>
    <row r="28" spans="1:23" ht="14.5">
      <c r="A28" s="34" t="s">
        <v>29</v>
      </c>
      <c r="B28" s="7" t="s">
        <v>1</v>
      </c>
      <c r="C28" s="7" t="s">
        <v>2</v>
      </c>
      <c r="D28" s="7" t="s">
        <v>3</v>
      </c>
      <c r="E28" s="7" t="s">
        <v>4</v>
      </c>
      <c r="G28" s="23" t="s">
        <v>8</v>
      </c>
      <c r="H28" s="23" t="s">
        <v>9</v>
      </c>
      <c r="I28" s="24" t="s">
        <v>10</v>
      </c>
      <c r="J28" s="23" t="s">
        <v>11</v>
      </c>
      <c r="L28" s="37">
        <v>1</v>
      </c>
      <c r="M28" s="36" t="s">
        <v>32</v>
      </c>
      <c r="N28" s="36"/>
      <c r="O28" s="2"/>
      <c r="P28" s="2"/>
      <c r="Q28" s="2"/>
    </row>
    <row r="29" spans="1:23" ht="14.5">
      <c r="A29" s="7" t="s">
        <v>1</v>
      </c>
      <c r="B29" s="16">
        <v>1</v>
      </c>
      <c r="C29" s="16">
        <v>3</v>
      </c>
      <c r="D29" s="16">
        <f>1/5</f>
        <v>0.2</v>
      </c>
      <c r="E29" s="16">
        <f>1/4</f>
        <v>0.25</v>
      </c>
      <c r="G29" s="25">
        <v>1</v>
      </c>
      <c r="H29" s="25">
        <f t="array" ref="H29:H32">MMULT(B29:E32,G29:G32)/MMULT(TRANSPOSE(G29:G32),MMULT(B29:E32,G29:G32))</f>
        <v>0.12572594569141421</v>
      </c>
      <c r="I29" s="25">
        <f t="array" ref="I29">MMULT(TRANSPOSE(G29:G32),MMULT(B29:E32,H29:H32))</f>
        <v>6.1108931094019772</v>
      </c>
      <c r="J29" s="25">
        <f>(I29-4)/(4-1)</f>
        <v>0.70363103646732572</v>
      </c>
      <c r="L29" s="37">
        <v>3</v>
      </c>
      <c r="M29" s="36" t="s">
        <v>19</v>
      </c>
      <c r="N29" s="36"/>
      <c r="O29" s="17"/>
      <c r="P29" s="17"/>
      <c r="Q29" s="18"/>
    </row>
    <row r="30" spans="1:23" ht="14.5">
      <c r="A30" s="7" t="s">
        <v>2</v>
      </c>
      <c r="B30" s="16">
        <f>1/3</f>
        <v>0.33333333333333331</v>
      </c>
      <c r="C30" s="16">
        <v>1</v>
      </c>
      <c r="D30" s="16">
        <f>1/3</f>
        <v>0.33333333333333331</v>
      </c>
      <c r="E30" s="16">
        <v>6</v>
      </c>
      <c r="G30" s="25">
        <v>1</v>
      </c>
      <c r="H30" s="25">
        <v>0.21660649819494582</v>
      </c>
      <c r="I30" s="23"/>
      <c r="J30" s="23"/>
      <c r="L30" s="37">
        <v>5</v>
      </c>
      <c r="M30" s="36" t="s">
        <v>20</v>
      </c>
      <c r="N30" s="36"/>
      <c r="O30" s="17"/>
      <c r="P30" s="17"/>
      <c r="Q30" s="18"/>
    </row>
    <row r="31" spans="1:23" ht="14.5">
      <c r="A31" s="7" t="s">
        <v>3</v>
      </c>
      <c r="B31" s="16">
        <v>5</v>
      </c>
      <c r="C31" s="16">
        <v>3</v>
      </c>
      <c r="D31" s="16">
        <v>1</v>
      </c>
      <c r="E31" s="16">
        <v>9</v>
      </c>
      <c r="G31" s="25">
        <v>1</v>
      </c>
      <c r="H31" s="25">
        <v>0.50855438706639455</v>
      </c>
      <c r="I31" s="23"/>
      <c r="J31" s="23"/>
      <c r="L31" s="37">
        <v>7</v>
      </c>
      <c r="M31" s="36" t="s">
        <v>21</v>
      </c>
      <c r="N31" s="36"/>
      <c r="O31" s="17"/>
      <c r="P31" s="17"/>
      <c r="Q31" s="18"/>
    </row>
    <row r="32" spans="1:23" ht="14.5">
      <c r="A32" s="7" t="s">
        <v>4</v>
      </c>
      <c r="B32" s="16">
        <v>4</v>
      </c>
      <c r="C32" s="16">
        <f>1/6</f>
        <v>0.16666666666666666</v>
      </c>
      <c r="D32" s="16">
        <f>1/9</f>
        <v>0.1111111111111111</v>
      </c>
      <c r="E32" s="16">
        <v>1</v>
      </c>
      <c r="G32" s="25">
        <v>1</v>
      </c>
      <c r="H32" s="25">
        <v>0.14911316904724531</v>
      </c>
      <c r="I32" s="23"/>
      <c r="J32" s="23"/>
      <c r="L32" s="37">
        <v>9</v>
      </c>
      <c r="M32" s="36" t="s">
        <v>22</v>
      </c>
      <c r="N32" s="36"/>
      <c r="O32" s="17"/>
      <c r="P32" s="17"/>
      <c r="Q32" s="18"/>
      <c r="R32" s="14"/>
    </row>
    <row r="33" spans="1:18" ht="15.75" customHeight="1">
      <c r="A33" s="7" t="s">
        <v>5</v>
      </c>
      <c r="B33" s="16">
        <f t="shared" ref="B33:E33" si="9">SUM(B29:B32)</f>
        <v>10.333333333333332</v>
      </c>
      <c r="C33" s="16">
        <f t="shared" si="9"/>
        <v>7.166666666666667</v>
      </c>
      <c r="D33" s="16">
        <f t="shared" si="9"/>
        <v>1.6444444444444444</v>
      </c>
      <c r="E33" s="16">
        <f t="shared" si="9"/>
        <v>16.25</v>
      </c>
      <c r="L33" s="38" t="s">
        <v>17</v>
      </c>
      <c r="M33" s="28" t="s">
        <v>18</v>
      </c>
      <c r="N33" s="30"/>
    </row>
    <row r="35" spans="1:18" ht="14.5">
      <c r="A35" s="34" t="s">
        <v>30</v>
      </c>
      <c r="B35" s="7" t="s">
        <v>1</v>
      </c>
      <c r="C35" s="7" t="s">
        <v>2</v>
      </c>
      <c r="D35" s="7" t="s">
        <v>3</v>
      </c>
      <c r="E35" s="7" t="s">
        <v>4</v>
      </c>
      <c r="G35" s="23" t="s">
        <v>8</v>
      </c>
      <c r="H35" s="23" t="s">
        <v>9</v>
      </c>
      <c r="I35" s="24" t="s">
        <v>10</v>
      </c>
      <c r="J35" s="23" t="s">
        <v>11</v>
      </c>
      <c r="L35" s="9"/>
      <c r="M35" s="2"/>
      <c r="N35" s="2"/>
      <c r="O35" s="2"/>
      <c r="P35" s="2"/>
      <c r="Q35" s="2"/>
      <c r="R35" s="2"/>
    </row>
    <row r="36" spans="1:18" ht="14.5">
      <c r="A36" s="7" t="s">
        <v>1</v>
      </c>
      <c r="B36" s="16">
        <v>1</v>
      </c>
      <c r="C36" s="16">
        <f>1/2</f>
        <v>0.5</v>
      </c>
      <c r="D36" s="16">
        <f>1/2</f>
        <v>0.5</v>
      </c>
      <c r="E36" s="16">
        <f>1/5</f>
        <v>0.2</v>
      </c>
      <c r="G36" s="25">
        <v>1</v>
      </c>
      <c r="H36" s="25">
        <f t="array" ref="H36:H39">MMULT(B36:E39,G36:G39)/MMULT(TRANSPOSE(G36:G39),MMULT(B36:E39,G36:G39))</f>
        <v>6.51132199567791E-2</v>
      </c>
      <c r="I36" s="25">
        <f t="array" ref="I36">MMULT(TRANSPOSE(G36:G39),MMULT(B36:E39,H36:H39))</f>
        <v>6.1180118387672646</v>
      </c>
      <c r="J36" s="25">
        <f>(I36-4)/(4-1)</f>
        <v>0.70600394625575491</v>
      </c>
      <c r="L36" s="2"/>
      <c r="M36" s="17"/>
      <c r="N36" s="17"/>
      <c r="O36" s="17"/>
      <c r="P36" s="17"/>
      <c r="Q36" s="18"/>
      <c r="R36" s="14"/>
    </row>
    <row r="37" spans="1:18" ht="14.5">
      <c r="A37" s="7" t="s">
        <v>2</v>
      </c>
      <c r="B37" s="16">
        <v>2</v>
      </c>
      <c r="C37" s="16">
        <v>1</v>
      </c>
      <c r="D37" s="16">
        <f>1/3</f>
        <v>0.33333333333333331</v>
      </c>
      <c r="E37" s="16">
        <v>7</v>
      </c>
      <c r="G37" s="25">
        <v>1</v>
      </c>
      <c r="H37" s="25">
        <v>0.30583482100911397</v>
      </c>
      <c r="I37" s="23"/>
      <c r="J37" s="23"/>
      <c r="L37" s="2"/>
      <c r="M37" s="17"/>
      <c r="N37" s="17"/>
      <c r="O37" s="17"/>
      <c r="P37" s="17"/>
      <c r="Q37" s="18"/>
      <c r="R37" s="14"/>
    </row>
    <row r="38" spans="1:18" ht="14.5">
      <c r="A38" s="7" t="s">
        <v>3</v>
      </c>
      <c r="B38" s="16">
        <v>2</v>
      </c>
      <c r="C38" s="16">
        <v>3</v>
      </c>
      <c r="D38" s="16">
        <v>1</v>
      </c>
      <c r="E38" s="16">
        <v>9</v>
      </c>
      <c r="G38" s="25">
        <v>1</v>
      </c>
      <c r="H38" s="25">
        <v>0.44395377243258471</v>
      </c>
      <c r="I38" s="23"/>
      <c r="J38" s="23"/>
      <c r="L38" s="2"/>
      <c r="M38" s="17"/>
      <c r="N38" s="17"/>
      <c r="O38" s="17"/>
      <c r="P38" s="17"/>
      <c r="Q38" s="18"/>
      <c r="R38" s="14"/>
    </row>
    <row r="39" spans="1:18" ht="14.5">
      <c r="A39" s="7" t="s">
        <v>4</v>
      </c>
      <c r="B39" s="16">
        <v>5</v>
      </c>
      <c r="C39" s="16">
        <f>1/7</f>
        <v>0.14285714285714285</v>
      </c>
      <c r="D39" s="16">
        <f>1/9</f>
        <v>0.1111111111111111</v>
      </c>
      <c r="E39" s="16">
        <v>1</v>
      </c>
      <c r="G39" s="25">
        <v>1</v>
      </c>
      <c r="H39" s="25">
        <v>0.18509818660152211</v>
      </c>
      <c r="I39" s="23"/>
      <c r="J39" s="23"/>
      <c r="L39" s="2"/>
      <c r="M39" s="17"/>
      <c r="N39" s="17"/>
      <c r="O39" s="17"/>
      <c r="P39" s="17"/>
      <c r="Q39" s="18"/>
      <c r="R39" s="14"/>
    </row>
    <row r="40" spans="1:18" ht="15.75" customHeight="1">
      <c r="A40" s="7" t="s">
        <v>5</v>
      </c>
      <c r="B40" s="16">
        <f t="shared" ref="B40:E40" si="10">SUM(B36:B39)</f>
        <v>10</v>
      </c>
      <c r="C40" s="16">
        <f t="shared" si="10"/>
        <v>4.6428571428571432</v>
      </c>
      <c r="D40" s="16">
        <f t="shared" si="10"/>
        <v>1.9444444444444444</v>
      </c>
      <c r="E40" s="16">
        <f t="shared" si="10"/>
        <v>17.2</v>
      </c>
    </row>
    <row r="44" spans="1:18" ht="15.75" customHeight="1">
      <c r="A44" s="39" t="s">
        <v>7</v>
      </c>
      <c r="B44" s="39"/>
      <c r="C44" s="39"/>
      <c r="D44" s="39"/>
      <c r="E44" s="39"/>
      <c r="F44" s="39"/>
    </row>
    <row r="45" spans="1:18" ht="15.75" customHeight="1">
      <c r="A45" s="7" t="s">
        <v>27</v>
      </c>
      <c r="B45" s="7" t="s">
        <v>1</v>
      </c>
      <c r="C45" s="7" t="s">
        <v>2</v>
      </c>
      <c r="D45" s="7" t="s">
        <v>3</v>
      </c>
      <c r="E45" s="7" t="s">
        <v>4</v>
      </c>
      <c r="F45" s="40" t="s">
        <v>24</v>
      </c>
      <c r="G45" s="2"/>
    </row>
    <row r="46" spans="1:18" ht="15.75" customHeight="1">
      <c r="A46" s="7" t="s">
        <v>1</v>
      </c>
      <c r="B46" s="16">
        <f>$B$15/$B$19</f>
        <v>0.15189873417721519</v>
      </c>
      <c r="C46" s="16">
        <f>$C$15/$C$19</f>
        <v>0.375</v>
      </c>
      <c r="D46" s="16">
        <f>$D$15/$D$19</f>
        <v>0.10714285714285716</v>
      </c>
      <c r="E46" s="16">
        <f>$E$15/$E$19</f>
        <v>0.44444444444444442</v>
      </c>
      <c r="F46" s="41">
        <f t="shared" ref="F46:F49" si="11">AVERAGE(B46:E46)</f>
        <v>0.26962150894112924</v>
      </c>
      <c r="G46" s="14"/>
    </row>
    <row r="47" spans="1:18" ht="15.75" customHeight="1">
      <c r="A47" s="7" t="s">
        <v>2</v>
      </c>
      <c r="B47" s="16">
        <f>$B$16/$B$19</f>
        <v>5.0632911392405063E-2</v>
      </c>
      <c r="C47" s="16">
        <f>$C$16/$C$19</f>
        <v>0.125</v>
      </c>
      <c r="D47" s="16">
        <f>$D$16/$D$19</f>
        <v>0.17857142857142858</v>
      </c>
      <c r="E47" s="16">
        <f>$E$16/$E$19</f>
        <v>0.1111111111111111</v>
      </c>
      <c r="F47" s="41">
        <f t="shared" si="11"/>
        <v>0.11632886276873618</v>
      </c>
      <c r="G47" s="14"/>
    </row>
    <row r="48" spans="1:18" ht="15.75" customHeight="1">
      <c r="A48" s="7" t="s">
        <v>3</v>
      </c>
      <c r="B48" s="16">
        <f>$B$17/$B$19</f>
        <v>0.759493670886076</v>
      </c>
      <c r="C48" s="16">
        <f>$C$17/$C$19</f>
        <v>0.375</v>
      </c>
      <c r="D48" s="16">
        <f>$D$17/$D$19</f>
        <v>0.53571428571428581</v>
      </c>
      <c r="E48" s="16">
        <f>$E$17/$E$19</f>
        <v>0.33333333333333331</v>
      </c>
      <c r="F48" s="41">
        <f t="shared" si="11"/>
        <v>0.50088532248342377</v>
      </c>
      <c r="G48" s="14"/>
    </row>
    <row r="49" spans="1:7" ht="15.75" customHeight="1">
      <c r="A49" s="7" t="s">
        <v>4</v>
      </c>
      <c r="B49" s="16">
        <f>$B$18/$B$19</f>
        <v>3.7974683544303799E-2</v>
      </c>
      <c r="C49" s="16">
        <f>$C$18/$C$19</f>
        <v>0.125</v>
      </c>
      <c r="D49" s="16">
        <f>$D$18/$D$19</f>
        <v>0.17857142857142858</v>
      </c>
      <c r="E49" s="16">
        <f>$E$18/$E$19</f>
        <v>0.1111111111111111</v>
      </c>
      <c r="F49" s="41">
        <f t="shared" si="11"/>
        <v>0.11316430580671087</v>
      </c>
      <c r="G49" s="14"/>
    </row>
    <row r="52" spans="1:7" ht="15.75" customHeight="1">
      <c r="A52" s="34" t="s">
        <v>28</v>
      </c>
      <c r="B52" s="7" t="s">
        <v>1</v>
      </c>
      <c r="C52" s="7" t="s">
        <v>2</v>
      </c>
      <c r="D52" s="7" t="s">
        <v>3</v>
      </c>
      <c r="E52" s="7" t="s">
        <v>4</v>
      </c>
      <c r="F52" s="7" t="s">
        <v>24</v>
      </c>
      <c r="G52" s="2"/>
    </row>
    <row r="53" spans="1:7" ht="15.75" customHeight="1">
      <c r="A53" s="7" t="s">
        <v>1</v>
      </c>
      <c r="B53" s="16">
        <f>B22/B26</f>
        <v>8.1967213114754106E-2</v>
      </c>
      <c r="C53" s="16">
        <f>C22/$C$26</f>
        <v>0.3125</v>
      </c>
      <c r="D53" s="16">
        <f>D22/$D$26</f>
        <v>6.7567567567567571E-2</v>
      </c>
      <c r="E53" s="16">
        <f>E22/$E$26</f>
        <v>0.10638297872340426</v>
      </c>
      <c r="F53" s="13">
        <f t="shared" ref="F53:F56" si="12">AVERAGE(B53:E53)</f>
        <v>0.14210443985143148</v>
      </c>
      <c r="G53" s="14"/>
    </row>
    <row r="54" spans="1:7" ht="15.75" customHeight="1">
      <c r="A54" s="7" t="s">
        <v>2</v>
      </c>
      <c r="B54" s="16">
        <f>B23/$B$26</f>
        <v>1.6393442622950821E-2</v>
      </c>
      <c r="C54" s="16">
        <f>C23/$C$26</f>
        <v>6.25E-2</v>
      </c>
      <c r="D54" s="16">
        <f>D23/$D$26</f>
        <v>0.12162162162162163</v>
      </c>
      <c r="E54" s="16">
        <f>E23/$E$26</f>
        <v>4.2553191489361701E-2</v>
      </c>
      <c r="F54" s="13">
        <f t="shared" si="12"/>
        <v>6.0767063933483537E-2</v>
      </c>
      <c r="G54" s="14"/>
    </row>
    <row r="55" spans="1:7" ht="15.75" customHeight="1">
      <c r="A55" s="7" t="s">
        <v>3</v>
      </c>
      <c r="B55" s="16">
        <f>B24/$B$26</f>
        <v>0.73770491803278693</v>
      </c>
      <c r="C55" s="16">
        <f>C24/$C$26</f>
        <v>0.3125</v>
      </c>
      <c r="D55" s="16">
        <f>D24/$D$26</f>
        <v>0.60810810810810811</v>
      </c>
      <c r="E55" s="16">
        <f>E24/$E$26</f>
        <v>0.63829787234042545</v>
      </c>
      <c r="F55" s="13">
        <f t="shared" si="12"/>
        <v>0.57415272462033018</v>
      </c>
      <c r="G55" s="14"/>
    </row>
    <row r="56" spans="1:7" ht="15.75" customHeight="1">
      <c r="A56" s="7" t="s">
        <v>4</v>
      </c>
      <c r="B56" s="16">
        <f>B25/$B$26</f>
        <v>0.16393442622950821</v>
      </c>
      <c r="C56" s="16">
        <f>C25/$C$26</f>
        <v>0.3125</v>
      </c>
      <c r="D56" s="16">
        <f>D25/$D$26</f>
        <v>0.20270270270270269</v>
      </c>
      <c r="E56" s="16">
        <f>E25/$E$26</f>
        <v>0.21276595744680851</v>
      </c>
      <c r="F56" s="13">
        <f t="shared" si="12"/>
        <v>0.22297577159475485</v>
      </c>
      <c r="G56" s="14"/>
    </row>
    <row r="59" spans="1:7" ht="15.75" customHeight="1">
      <c r="A59" s="34" t="s">
        <v>29</v>
      </c>
      <c r="B59" s="7" t="s">
        <v>1</v>
      </c>
      <c r="C59" s="7" t="s">
        <v>2</v>
      </c>
      <c r="D59" s="7" t="s">
        <v>3</v>
      </c>
      <c r="E59" s="7" t="s">
        <v>4</v>
      </c>
      <c r="F59" s="7" t="s">
        <v>24</v>
      </c>
      <c r="G59" s="2"/>
    </row>
    <row r="60" spans="1:7" ht="15.75" customHeight="1">
      <c r="A60" s="7" t="s">
        <v>1</v>
      </c>
      <c r="B60" s="16">
        <f>B29/$B$33</f>
        <v>9.6774193548387108E-2</v>
      </c>
      <c r="C60" s="16">
        <f>C29/$C$33</f>
        <v>0.41860465116279066</v>
      </c>
      <c r="D60" s="16">
        <f>D29/$D$33</f>
        <v>0.12162162162162163</v>
      </c>
      <c r="E60" s="16">
        <f>E29/$E$33</f>
        <v>1.5384615384615385E-2</v>
      </c>
      <c r="F60" s="13">
        <f t="shared" ref="F60:F63" si="13">AVERAGE(B60:E60)</f>
        <v>0.16309627042935371</v>
      </c>
      <c r="G60" s="14"/>
    </row>
    <row r="61" spans="1:7" ht="15.75" customHeight="1">
      <c r="A61" s="7" t="s">
        <v>2</v>
      </c>
      <c r="B61" s="16">
        <f>B30/$B$33</f>
        <v>3.2258064516129031E-2</v>
      </c>
      <c r="C61" s="16">
        <f>C30/$C$33</f>
        <v>0.13953488372093023</v>
      </c>
      <c r="D61" s="16">
        <f>D30/$D$33</f>
        <v>0.20270270270270269</v>
      </c>
      <c r="E61" s="16">
        <f>E30/$E$33</f>
        <v>0.36923076923076925</v>
      </c>
      <c r="F61" s="13">
        <f t="shared" si="13"/>
        <v>0.18593160504263279</v>
      </c>
      <c r="G61" s="14"/>
    </row>
    <row r="62" spans="1:7" ht="15.75" customHeight="1">
      <c r="A62" s="7" t="s">
        <v>3</v>
      </c>
      <c r="B62" s="16">
        <f>B31/$B$33</f>
        <v>0.48387096774193555</v>
      </c>
      <c r="C62" s="16">
        <f>C31/$C$33</f>
        <v>0.41860465116279066</v>
      </c>
      <c r="D62" s="16">
        <f>D31/$D$33</f>
        <v>0.60810810810810811</v>
      </c>
      <c r="E62" s="16">
        <f>E31/$E$33</f>
        <v>0.55384615384615388</v>
      </c>
      <c r="F62" s="13">
        <f t="shared" si="13"/>
        <v>0.51610747021474701</v>
      </c>
      <c r="G62" s="14"/>
    </row>
    <row r="63" spans="1:7" ht="15.75" customHeight="1">
      <c r="A63" s="7" t="s">
        <v>4</v>
      </c>
      <c r="B63" s="16">
        <f>B32/$B$33</f>
        <v>0.38709677419354843</v>
      </c>
      <c r="C63" s="16">
        <f>C32/$C$33</f>
        <v>2.3255813953488368E-2</v>
      </c>
      <c r="D63" s="16">
        <f>D32/$D$33</f>
        <v>6.7567567567567571E-2</v>
      </c>
      <c r="E63" s="16">
        <f>E32/$E$33</f>
        <v>6.1538461538461542E-2</v>
      </c>
      <c r="F63" s="13">
        <f t="shared" si="13"/>
        <v>0.13486465431326647</v>
      </c>
      <c r="G63" s="14"/>
    </row>
    <row r="66" spans="1:8" ht="15.75" customHeight="1">
      <c r="A66" s="34" t="s">
        <v>30</v>
      </c>
      <c r="B66" s="7" t="s">
        <v>1</v>
      </c>
      <c r="C66" s="7" t="s">
        <v>2</v>
      </c>
      <c r="D66" s="7" t="s">
        <v>3</v>
      </c>
      <c r="E66" s="7" t="s">
        <v>4</v>
      </c>
      <c r="F66" s="7" t="s">
        <v>24</v>
      </c>
      <c r="G66" s="2"/>
    </row>
    <row r="67" spans="1:8" ht="15.75" customHeight="1">
      <c r="A67" s="7" t="s">
        <v>1</v>
      </c>
      <c r="B67" s="16">
        <f>B36/$B$40</f>
        <v>0.1</v>
      </c>
      <c r="C67" s="16">
        <f>C36/$C$40</f>
        <v>0.10769230769230768</v>
      </c>
      <c r="D67" s="16">
        <f>D36/$D$40</f>
        <v>0.25714285714285717</v>
      </c>
      <c r="E67" s="16">
        <f>E36/$E$40</f>
        <v>1.1627906976744188E-2</v>
      </c>
      <c r="F67" s="13">
        <f t="shared" ref="F67:F70" si="14">AVERAGE(B67:E67)</f>
        <v>0.11911576795297726</v>
      </c>
      <c r="G67" s="14"/>
    </row>
    <row r="68" spans="1:8" ht="15.75" customHeight="1">
      <c r="A68" s="7" t="s">
        <v>2</v>
      </c>
      <c r="B68" s="16">
        <f>B37/$B$40</f>
        <v>0.2</v>
      </c>
      <c r="C68" s="16">
        <f>C37/$C$40</f>
        <v>0.21538461538461537</v>
      </c>
      <c r="D68" s="16">
        <f>D37/$D$40</f>
        <v>0.17142857142857143</v>
      </c>
      <c r="E68" s="16">
        <f>E37/$E$40</f>
        <v>0.40697674418604651</v>
      </c>
      <c r="F68" s="13">
        <f t="shared" si="14"/>
        <v>0.24844748274980832</v>
      </c>
      <c r="G68" s="14"/>
    </row>
    <row r="69" spans="1:8" ht="15.75" customHeight="1">
      <c r="A69" s="7" t="s">
        <v>3</v>
      </c>
      <c r="B69" s="16">
        <f>B38/$B$40</f>
        <v>0.2</v>
      </c>
      <c r="C69" s="16">
        <f>C38/$C$40</f>
        <v>0.64615384615384608</v>
      </c>
      <c r="D69" s="16">
        <f>D38/$D$40</f>
        <v>0.51428571428571435</v>
      </c>
      <c r="E69" s="16">
        <f>E38/$E$40</f>
        <v>0.52325581395348841</v>
      </c>
      <c r="F69" s="13">
        <f t="shared" si="14"/>
        <v>0.47092384359826223</v>
      </c>
      <c r="G69" s="14"/>
    </row>
    <row r="70" spans="1:8" ht="15.75" customHeight="1">
      <c r="A70" s="7" t="s">
        <v>4</v>
      </c>
      <c r="B70" s="16">
        <f>B39/$B$40</f>
        <v>0.5</v>
      </c>
      <c r="C70" s="16">
        <f>C39/$C$40</f>
        <v>3.0769230769230764E-2</v>
      </c>
      <c r="D70" s="16">
        <f>D39/$D$40</f>
        <v>5.7142857142857141E-2</v>
      </c>
      <c r="E70" s="16">
        <f>E39/$E$40</f>
        <v>5.8139534883720929E-2</v>
      </c>
      <c r="F70" s="13">
        <f t="shared" si="14"/>
        <v>0.16151290569895221</v>
      </c>
      <c r="G70" s="14"/>
    </row>
    <row r="76" spans="1:8" ht="15.75" customHeight="1">
      <c r="A76" s="34"/>
      <c r="B76" s="7">
        <v>1</v>
      </c>
      <c r="C76" s="7">
        <v>2</v>
      </c>
      <c r="D76" s="7">
        <v>3</v>
      </c>
      <c r="E76" s="7">
        <v>4</v>
      </c>
      <c r="F76" s="2"/>
      <c r="G76" s="40" t="s">
        <v>6</v>
      </c>
      <c r="H76" s="40" t="s">
        <v>24</v>
      </c>
    </row>
    <row r="77" spans="1:8" ht="15.75" customHeight="1">
      <c r="A77" s="7" t="s">
        <v>1</v>
      </c>
      <c r="B77" s="41">
        <f>F46</f>
        <v>0.26962150894112924</v>
      </c>
      <c r="C77" s="13">
        <f>F53</f>
        <v>0.14210443985143148</v>
      </c>
      <c r="D77" s="13">
        <f>F60</f>
        <v>0.16309627042935371</v>
      </c>
      <c r="E77" s="13">
        <f>F67</f>
        <v>0.11911576795297726</v>
      </c>
      <c r="F77" s="18"/>
      <c r="G77" s="40">
        <v>1</v>
      </c>
      <c r="H77" s="13">
        <f>M5</f>
        <v>5.8856561966578604E-2</v>
      </c>
    </row>
    <row r="78" spans="1:8" ht="15.75" customHeight="1">
      <c r="A78" s="7" t="s">
        <v>2</v>
      </c>
      <c r="B78" s="41">
        <f>F47</f>
        <v>0.11632886276873618</v>
      </c>
      <c r="C78" s="13">
        <f t="shared" ref="C78:C80" si="15">F54</f>
        <v>6.0767063933483537E-2</v>
      </c>
      <c r="D78" s="13">
        <f t="shared" ref="D78:D80" si="16">F61</f>
        <v>0.18593160504263279</v>
      </c>
      <c r="E78" s="13">
        <f t="shared" ref="E78:E80" si="17">F68</f>
        <v>0.24844748274980832</v>
      </c>
      <c r="F78" s="18"/>
      <c r="G78" s="40">
        <v>2</v>
      </c>
      <c r="H78" s="13">
        <f>M6</f>
        <v>0.19922969872903007</v>
      </c>
    </row>
    <row r="79" spans="1:8" ht="15.75" customHeight="1">
      <c r="A79" s="7" t="s">
        <v>3</v>
      </c>
      <c r="B79" s="41">
        <f t="shared" ref="B79:B80" si="18">F48</f>
        <v>0.50088532248342377</v>
      </c>
      <c r="C79" s="13">
        <f t="shared" si="15"/>
        <v>0.57415272462033018</v>
      </c>
      <c r="D79" s="13">
        <f t="shared" si="16"/>
        <v>0.51610747021474701</v>
      </c>
      <c r="E79" s="13">
        <f t="shared" si="17"/>
        <v>0.47092384359826223</v>
      </c>
      <c r="F79" s="18"/>
      <c r="G79" s="40">
        <v>3</v>
      </c>
      <c r="H79" s="13">
        <f>M7</f>
        <v>0.62272524652902361</v>
      </c>
    </row>
    <row r="80" spans="1:8" ht="15.75" customHeight="1">
      <c r="A80" s="7" t="s">
        <v>4</v>
      </c>
      <c r="B80" s="41">
        <f t="shared" si="18"/>
        <v>0.11316430580671087</v>
      </c>
      <c r="C80" s="13">
        <f t="shared" si="15"/>
        <v>0.22297577159475485</v>
      </c>
      <c r="D80" s="13">
        <f t="shared" si="16"/>
        <v>0.13486465431326647</v>
      </c>
      <c r="E80" s="13">
        <f t="shared" si="17"/>
        <v>0.16151290569895221</v>
      </c>
      <c r="F80" s="18"/>
      <c r="G80" s="40">
        <v>4</v>
      </c>
      <c r="H80" s="13">
        <f>M8</f>
        <v>0.11918849277536775</v>
      </c>
    </row>
    <row r="82" spans="1:3" ht="15.75" customHeight="1">
      <c r="A82" s="7" t="s">
        <v>31</v>
      </c>
      <c r="B82" s="7" t="s">
        <v>24</v>
      </c>
      <c r="C82" s="7" t="s">
        <v>23</v>
      </c>
    </row>
    <row r="83" spans="1:3" ht="15.75" customHeight="1">
      <c r="A83" s="7" t="s">
        <v>1</v>
      </c>
      <c r="B83" s="13" cm="1">
        <f t="array" ref="B83:B86">MMULT(B77:E80,H77:H80)</f>
        <v>0.15994181384735368</v>
      </c>
      <c r="C83" s="42">
        <v>3</v>
      </c>
    </row>
    <row r="84" spans="1:3" ht="15.75" customHeight="1">
      <c r="A84" s="7" t="s">
        <v>2</v>
      </c>
      <c r="B84" s="37">
        <v>0.16434970635065976</v>
      </c>
      <c r="C84" s="42">
        <v>2</v>
      </c>
    </row>
    <row r="85" spans="1:3" ht="15.75" customHeight="1">
      <c r="A85" s="7" t="s">
        <v>3</v>
      </c>
      <c r="B85" s="13">
        <v>0.52139051712686446</v>
      </c>
      <c r="C85" s="42">
        <v>1</v>
      </c>
    </row>
    <row r="86" spans="1:3" ht="15.75" customHeight="1">
      <c r="A86" s="7" t="s">
        <v>4</v>
      </c>
      <c r="B86" s="13">
        <v>0.15431796267512221</v>
      </c>
      <c r="C86" s="42">
        <v>4</v>
      </c>
    </row>
  </sheetData>
  <mergeCells count="21">
    <mergeCell ref="M13:P13"/>
    <mergeCell ref="H3:M3"/>
    <mergeCell ref="A3:E3"/>
    <mergeCell ref="A44:F44"/>
    <mergeCell ref="L15:O15"/>
    <mergeCell ref="M17:O17"/>
    <mergeCell ref="M18:O18"/>
    <mergeCell ref="M16:O16"/>
    <mergeCell ref="M23:P23"/>
    <mergeCell ref="M22:P22"/>
    <mergeCell ref="M24:P24"/>
    <mergeCell ref="M25:P25"/>
    <mergeCell ref="L21:P21"/>
    <mergeCell ref="M33:N33"/>
    <mergeCell ref="M19:O19"/>
    <mergeCell ref="M32:N32"/>
    <mergeCell ref="M30:N30"/>
    <mergeCell ref="M29:N29"/>
    <mergeCell ref="M28:N28"/>
    <mergeCell ref="M31:N31"/>
    <mergeCell ref="L27:N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izbranny izbranny</cp:lastModifiedBy>
  <dcterms:created xsi:type="dcterms:W3CDTF">2026-01-14T12:25:18Z</dcterms:created>
  <dcterms:modified xsi:type="dcterms:W3CDTF">2026-01-14T12:25:47Z</dcterms:modified>
</cp:coreProperties>
</file>