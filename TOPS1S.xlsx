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AEE398-72D2-4285-81BF-B07A7C790F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P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" l="1"/>
  <c r="I70" i="2"/>
  <c r="L70" i="2"/>
  <c r="C71" i="2"/>
  <c r="L71" i="2"/>
  <c r="F72" i="2"/>
  <c r="L72" i="2"/>
  <c r="C69" i="2"/>
  <c r="F69" i="2"/>
  <c r="I69" i="2"/>
  <c r="L69" i="2"/>
  <c r="S40" i="2"/>
  <c r="P40" i="2"/>
  <c r="B24" i="2"/>
  <c r="N24" i="2"/>
  <c r="B48" i="2" s="1"/>
  <c r="D24" i="2"/>
  <c r="E24" i="2"/>
  <c r="E69" i="2" s="1"/>
  <c r="G24" i="2"/>
  <c r="G69" i="2" s="1"/>
  <c r="H24" i="2"/>
  <c r="H69" i="2" s="1"/>
  <c r="J24" i="2"/>
  <c r="J69" i="2" s="1"/>
  <c r="K24" i="2"/>
  <c r="K69" i="2" s="1"/>
  <c r="M24" i="2"/>
  <c r="M69" i="2" s="1"/>
  <c r="B25" i="2"/>
  <c r="D25" i="2"/>
  <c r="E25" i="2"/>
  <c r="E70" i="2" s="1"/>
  <c r="F25" i="2"/>
  <c r="P41" i="2" s="1"/>
  <c r="G25" i="2"/>
  <c r="G70" i="2" s="1"/>
  <c r="H25" i="2"/>
  <c r="H70" i="2" s="1"/>
  <c r="J25" i="2"/>
  <c r="J70" i="2" s="1"/>
  <c r="K25" i="2"/>
  <c r="K70" i="2" s="1"/>
  <c r="M25" i="2"/>
  <c r="M70" i="2" s="1"/>
  <c r="N25" i="2"/>
  <c r="B49" i="2" s="1"/>
  <c r="B26" i="2"/>
  <c r="D26" i="2"/>
  <c r="E26" i="2"/>
  <c r="E71" i="2" s="1"/>
  <c r="F26" i="2"/>
  <c r="G26" i="2"/>
  <c r="G71" i="2" s="1"/>
  <c r="H26" i="2"/>
  <c r="H71" i="2" s="1"/>
  <c r="I26" i="2"/>
  <c r="I71" i="2" s="1"/>
  <c r="J26" i="2"/>
  <c r="J71" i="2" s="1"/>
  <c r="K26" i="2"/>
  <c r="K71" i="2" s="1"/>
  <c r="M26" i="2"/>
  <c r="M71" i="2" s="1"/>
  <c r="N26" i="2"/>
  <c r="B50" i="2" s="1"/>
  <c r="B27" i="2"/>
  <c r="C27" i="2"/>
  <c r="D27" i="2"/>
  <c r="E27" i="2"/>
  <c r="E72" i="2" s="1"/>
  <c r="G27" i="2"/>
  <c r="G72" i="2" s="1"/>
  <c r="H27" i="2"/>
  <c r="H72" i="2" s="1"/>
  <c r="I27" i="2"/>
  <c r="I72" i="2" s="1"/>
  <c r="J27" i="2"/>
  <c r="J72" i="2" s="1"/>
  <c r="K27" i="2"/>
  <c r="K72" i="2" s="1"/>
  <c r="M27" i="2"/>
  <c r="M72" i="2" s="1"/>
  <c r="N27" i="2"/>
  <c r="B51" i="2" s="1"/>
  <c r="P42" i="2" l="1"/>
  <c r="R43" i="2"/>
  <c r="T43" i="2"/>
  <c r="S43" i="2"/>
  <c r="D72" i="2"/>
  <c r="C72" i="2"/>
  <c r="B72" i="2"/>
  <c r="Q43" i="2"/>
  <c r="P43" i="2"/>
  <c r="O43" i="2"/>
  <c r="S42" i="2"/>
  <c r="F71" i="2"/>
  <c r="T42" i="2"/>
  <c r="R42" i="2"/>
  <c r="D71" i="2"/>
  <c r="Q42" i="2"/>
  <c r="B71" i="2"/>
  <c r="O42" i="2"/>
  <c r="F70" i="2"/>
  <c r="S41" i="2"/>
  <c r="Q41" i="2"/>
  <c r="T41" i="2"/>
  <c r="R41" i="2"/>
  <c r="O41" i="2"/>
  <c r="D70" i="2"/>
  <c r="B70" i="2"/>
  <c r="T40" i="2"/>
  <c r="O40" i="2"/>
  <c r="Q40" i="2"/>
  <c r="D69" i="2"/>
  <c r="R40" i="2"/>
  <c r="B69" i="2"/>
  <c r="D43" i="2" l="1"/>
  <c r="D58" i="2" s="1"/>
  <c r="G43" i="2"/>
  <c r="G58" i="2" s="1"/>
  <c r="B42" i="2"/>
  <c r="B57" i="2" s="1"/>
  <c r="B41" i="2"/>
  <c r="B56" i="2" s="1"/>
  <c r="N69" i="2"/>
  <c r="D77" i="2" s="1"/>
  <c r="C42" i="2"/>
  <c r="C57" i="2" s="1"/>
  <c r="D42" i="2"/>
  <c r="D57" i="2" s="1"/>
  <c r="E42" i="2"/>
  <c r="E57" i="2" s="1"/>
  <c r="F42" i="2"/>
  <c r="F57" i="2" s="1"/>
  <c r="K42" i="2"/>
  <c r="K57" i="2" s="1"/>
  <c r="G42" i="2"/>
  <c r="G57" i="2" s="1"/>
  <c r="L42" i="2"/>
  <c r="L57" i="2" s="1"/>
  <c r="H42" i="2"/>
  <c r="H57" i="2" s="1"/>
  <c r="I42" i="2"/>
  <c r="I57" i="2" s="1"/>
  <c r="J42" i="2"/>
  <c r="J57" i="2" s="1"/>
  <c r="M42" i="2"/>
  <c r="M57" i="2" s="1"/>
  <c r="C41" i="2"/>
  <c r="C56" i="2" s="1"/>
  <c r="D41" i="2"/>
  <c r="D56" i="2" s="1"/>
  <c r="E41" i="2"/>
  <c r="E56" i="2" s="1"/>
  <c r="F41" i="2"/>
  <c r="F56" i="2" s="1"/>
  <c r="I41" i="2"/>
  <c r="I56" i="2" s="1"/>
  <c r="L41" i="2"/>
  <c r="L56" i="2" s="1"/>
  <c r="G41" i="2"/>
  <c r="G56" i="2" s="1"/>
  <c r="J41" i="2"/>
  <c r="J56" i="2" s="1"/>
  <c r="H41" i="2"/>
  <c r="H56" i="2" s="1"/>
  <c r="K41" i="2"/>
  <c r="K56" i="2" s="1"/>
  <c r="M41" i="2"/>
  <c r="M56" i="2" s="1"/>
  <c r="B43" i="2"/>
  <c r="B58" i="2" s="1"/>
  <c r="C43" i="2"/>
  <c r="C58" i="2" s="1"/>
  <c r="E43" i="2"/>
  <c r="E58" i="2" s="1"/>
  <c r="L43" i="2"/>
  <c r="L58" i="2" s="1"/>
  <c r="F43" i="2"/>
  <c r="F58" i="2" s="1"/>
  <c r="H43" i="2"/>
  <c r="H58" i="2" s="1"/>
  <c r="I43" i="2"/>
  <c r="I58" i="2" s="1"/>
  <c r="K43" i="2"/>
  <c r="K58" i="2" s="1"/>
  <c r="J43" i="2"/>
  <c r="J58" i="2" s="1"/>
  <c r="M43" i="2"/>
  <c r="M58" i="2" s="1"/>
  <c r="B44" i="2"/>
  <c r="B59" i="2" s="1"/>
  <c r="C44" i="2"/>
  <c r="C59" i="2" s="1"/>
  <c r="D44" i="2"/>
  <c r="D59" i="2" s="1"/>
  <c r="J44" i="2"/>
  <c r="J59" i="2" s="1"/>
  <c r="K44" i="2"/>
  <c r="K59" i="2" s="1"/>
  <c r="E44" i="2"/>
  <c r="E59" i="2" s="1"/>
  <c r="I44" i="2"/>
  <c r="I59" i="2" s="1"/>
  <c r="F44" i="2"/>
  <c r="F59" i="2" s="1"/>
  <c r="G44" i="2"/>
  <c r="G59" i="2" s="1"/>
  <c r="H44" i="2"/>
  <c r="H59" i="2" s="1"/>
  <c r="L44" i="2"/>
  <c r="L59" i="2" s="1"/>
  <c r="M44" i="2"/>
  <c r="M59" i="2" s="1"/>
  <c r="N72" i="2"/>
  <c r="N70" i="2"/>
  <c r="N71" i="2"/>
  <c r="J80" i="2" l="1"/>
  <c r="K80" i="2"/>
  <c r="L80" i="2"/>
  <c r="M80" i="2"/>
  <c r="F80" i="2"/>
  <c r="E80" i="2"/>
  <c r="G80" i="2"/>
  <c r="G88" i="2" s="1"/>
  <c r="H80" i="2"/>
  <c r="H88" i="2" s="1"/>
  <c r="I80" i="2"/>
  <c r="I88" i="2" s="1"/>
  <c r="C80" i="2"/>
  <c r="C88" i="2" s="1"/>
  <c r="B80" i="2"/>
  <c r="B88" i="2" s="1"/>
  <c r="D80" i="2"/>
  <c r="D88" i="2" s="1"/>
  <c r="J79" i="2"/>
  <c r="J87" i="2" s="1"/>
  <c r="K79" i="2"/>
  <c r="L79" i="2"/>
  <c r="L87" i="2" s="1"/>
  <c r="M79" i="2"/>
  <c r="M87" i="2" s="1"/>
  <c r="C79" i="2"/>
  <c r="C87" i="2" s="1"/>
  <c r="E79" i="2"/>
  <c r="F79" i="2"/>
  <c r="F87" i="2" s="1"/>
  <c r="G79" i="2"/>
  <c r="G87" i="2" s="1"/>
  <c r="H79" i="2"/>
  <c r="H87" i="2" s="1"/>
  <c r="I79" i="2"/>
  <c r="I87" i="2" s="1"/>
  <c r="D79" i="2"/>
  <c r="D87" i="2" s="1"/>
  <c r="B79" i="2"/>
  <c r="B87" i="2" s="1"/>
  <c r="J78" i="2"/>
  <c r="K78" i="2"/>
  <c r="L78" i="2"/>
  <c r="L86" i="2" s="1"/>
  <c r="I78" i="2"/>
  <c r="I86" i="2" s="1"/>
  <c r="M78" i="2"/>
  <c r="M86" i="2" s="1"/>
  <c r="C78" i="2"/>
  <c r="C86" i="2" s="1"/>
  <c r="E78" i="2"/>
  <c r="E86" i="2" s="1"/>
  <c r="F78" i="2"/>
  <c r="F86" i="2" s="1"/>
  <c r="G78" i="2"/>
  <c r="G86" i="2" s="1"/>
  <c r="H78" i="2"/>
  <c r="H86" i="2" s="1"/>
  <c r="B78" i="2"/>
  <c r="B86" i="2" s="1"/>
  <c r="D78" i="2"/>
  <c r="D86" i="2" s="1"/>
  <c r="I77" i="2"/>
  <c r="H77" i="2"/>
  <c r="C77" i="2"/>
  <c r="G77" i="2"/>
  <c r="G85" i="2" s="1"/>
  <c r="E77" i="2"/>
  <c r="E85" i="2" s="1"/>
  <c r="M77" i="2"/>
  <c r="M85" i="2" s="1"/>
  <c r="F77" i="2"/>
  <c r="F85" i="2" s="1"/>
  <c r="L77" i="2"/>
  <c r="L85" i="2" s="1"/>
  <c r="K77" i="2"/>
  <c r="K85" i="2" s="1"/>
  <c r="J77" i="2"/>
  <c r="J85" i="2" s="1"/>
  <c r="B77" i="2"/>
  <c r="B85" i="2" s="1"/>
  <c r="D60" i="2"/>
  <c r="L60" i="2"/>
  <c r="J60" i="2"/>
  <c r="F60" i="2"/>
  <c r="H60" i="2"/>
  <c r="G60" i="2"/>
  <c r="E60" i="2"/>
  <c r="K60" i="2"/>
  <c r="F88" i="2"/>
  <c r="E88" i="2"/>
  <c r="M88" i="2"/>
  <c r="L88" i="2"/>
  <c r="K88" i="2"/>
  <c r="J88" i="2"/>
  <c r="K86" i="2"/>
  <c r="J86" i="2"/>
  <c r="I60" i="2"/>
  <c r="C60" i="2"/>
  <c r="K87" i="2"/>
  <c r="E87" i="2"/>
  <c r="M60" i="2"/>
  <c r="C85" i="2"/>
  <c r="I85" i="2"/>
  <c r="H85" i="2"/>
  <c r="D85" i="2"/>
  <c r="B60" i="2"/>
  <c r="H61" i="2" l="1"/>
  <c r="B61" i="2"/>
  <c r="E61" i="2"/>
  <c r="F96" i="2"/>
  <c r="C96" i="2"/>
  <c r="D96" i="2"/>
  <c r="G96" i="2"/>
  <c r="B95" i="2"/>
  <c r="E95" i="2"/>
  <c r="G95" i="2"/>
  <c r="D95" i="2"/>
  <c r="F94" i="2"/>
  <c r="C94" i="2"/>
  <c r="E94" i="2"/>
  <c r="B94" i="2"/>
  <c r="C93" i="2"/>
  <c r="F93" i="2"/>
  <c r="G93" i="2"/>
  <c r="D93" i="2"/>
  <c r="C95" i="2"/>
  <c r="F95" i="2"/>
  <c r="B93" i="2"/>
  <c r="E93" i="2"/>
  <c r="E96" i="2"/>
  <c r="B96" i="2"/>
  <c r="K61" i="2"/>
  <c r="D94" i="2"/>
  <c r="G94" i="2"/>
  <c r="K63" i="2" l="1"/>
  <c r="B63" i="2"/>
  <c r="H63" i="2"/>
  <c r="E63" i="2"/>
  <c r="K103" i="2"/>
  <c r="W103" i="2" s="1"/>
  <c r="B103" i="2"/>
  <c r="N103" i="2" s="1"/>
  <c r="H103" i="2"/>
  <c r="T103" i="2" s="1"/>
  <c r="E103" i="2"/>
  <c r="Q103" i="2" s="1"/>
  <c r="K104" i="2"/>
  <c r="W104" i="2" s="1"/>
  <c r="B104" i="2"/>
  <c r="N104" i="2" s="1"/>
  <c r="E104" i="2"/>
  <c r="Q104" i="2" s="1"/>
  <c r="H104" i="2"/>
  <c r="T104" i="2" s="1"/>
  <c r="H111" i="2"/>
  <c r="T111" i="2" s="1"/>
  <c r="K111" i="2"/>
  <c r="W111" i="2" s="1"/>
  <c r="B111" i="2"/>
  <c r="N111" i="2" s="1"/>
  <c r="E111" i="2"/>
  <c r="Q111" i="2" s="1"/>
  <c r="L103" i="2"/>
  <c r="X103" i="2" s="1"/>
  <c r="C103" i="2"/>
  <c r="O103" i="2" s="1"/>
  <c r="F103" i="2"/>
  <c r="R103" i="2" s="1"/>
  <c r="I103" i="2"/>
  <c r="U103" i="2" s="1"/>
  <c r="G114" i="2"/>
  <c r="S114" i="2" s="1"/>
  <c r="J114" i="2"/>
  <c r="V114" i="2" s="1"/>
  <c r="D114" i="2"/>
  <c r="P114" i="2" s="1"/>
  <c r="M114" i="2"/>
  <c r="Y114" i="2" s="1"/>
  <c r="L102" i="2"/>
  <c r="X102" i="2" s="1"/>
  <c r="C102" i="2"/>
  <c r="O102" i="2" s="1"/>
  <c r="F102" i="2"/>
  <c r="R102" i="2" s="1"/>
  <c r="I102" i="2"/>
  <c r="U102" i="2" s="1"/>
  <c r="J103" i="2"/>
  <c r="V103" i="2" s="1"/>
  <c r="M103" i="2"/>
  <c r="Y103" i="2" s="1"/>
  <c r="D103" i="2"/>
  <c r="P103" i="2" s="1"/>
  <c r="G103" i="2"/>
  <c r="S103" i="2" s="1"/>
  <c r="F113" i="2"/>
  <c r="R113" i="2" s="1"/>
  <c r="I113" i="2"/>
  <c r="U113" i="2" s="1"/>
  <c r="L113" i="2"/>
  <c r="X113" i="2" s="1"/>
  <c r="C113" i="2"/>
  <c r="O113" i="2" s="1"/>
  <c r="F111" i="2"/>
  <c r="R111" i="2" s="1"/>
  <c r="C111" i="2"/>
  <c r="O111" i="2" s="1"/>
  <c r="I111" i="2"/>
  <c r="U111" i="2" s="1"/>
  <c r="L111" i="2"/>
  <c r="X111" i="2" s="1"/>
  <c r="J104" i="2"/>
  <c r="V104" i="2" s="1"/>
  <c r="M104" i="2"/>
  <c r="Y104" i="2" s="1"/>
  <c r="D104" i="2"/>
  <c r="P104" i="2" s="1"/>
  <c r="G104" i="2"/>
  <c r="S104" i="2" s="1"/>
  <c r="H114" i="2"/>
  <c r="T114" i="2" s="1"/>
  <c r="K114" i="2"/>
  <c r="W114" i="2" s="1"/>
  <c r="B114" i="2"/>
  <c r="N114" i="2" s="1"/>
  <c r="E114" i="2"/>
  <c r="Q114" i="2" s="1"/>
  <c r="K101" i="2"/>
  <c r="W101" i="2" s="1"/>
  <c r="H101" i="2"/>
  <c r="T101" i="2" s="1"/>
  <c r="B101" i="2"/>
  <c r="N101" i="2" s="1"/>
  <c r="E101" i="2"/>
  <c r="Q101" i="2" s="1"/>
  <c r="J101" i="2"/>
  <c r="V101" i="2" s="1"/>
  <c r="M101" i="2"/>
  <c r="Y101" i="2" s="1"/>
  <c r="G101" i="2"/>
  <c r="S101" i="2" s="1"/>
  <c r="D101" i="2"/>
  <c r="P101" i="2" s="1"/>
  <c r="G113" i="2"/>
  <c r="S113" i="2" s="1"/>
  <c r="J113" i="2"/>
  <c r="V113" i="2" s="1"/>
  <c r="D113" i="2"/>
  <c r="P113" i="2" s="1"/>
  <c r="M113" i="2"/>
  <c r="Y113" i="2" s="1"/>
  <c r="L101" i="2"/>
  <c r="X101" i="2" s="1"/>
  <c r="C101" i="2"/>
  <c r="O101" i="2" s="1"/>
  <c r="F101" i="2"/>
  <c r="R101" i="2" s="1"/>
  <c r="I101" i="2"/>
  <c r="U101" i="2" s="1"/>
  <c r="J102" i="2"/>
  <c r="V102" i="2" s="1"/>
  <c r="M102" i="2"/>
  <c r="Y102" i="2" s="1"/>
  <c r="D102" i="2"/>
  <c r="P102" i="2" s="1"/>
  <c r="G102" i="2"/>
  <c r="S102" i="2" s="1"/>
  <c r="K102" i="2"/>
  <c r="W102" i="2" s="1"/>
  <c r="B102" i="2"/>
  <c r="N102" i="2" s="1"/>
  <c r="H102" i="2"/>
  <c r="T102" i="2" s="1"/>
  <c r="E102" i="2"/>
  <c r="Q102" i="2" s="1"/>
  <c r="L104" i="2"/>
  <c r="X104" i="2" s="1"/>
  <c r="C104" i="2"/>
  <c r="O104" i="2" s="1"/>
  <c r="F104" i="2"/>
  <c r="R104" i="2" s="1"/>
  <c r="I104" i="2"/>
  <c r="U104" i="2" s="1"/>
  <c r="F112" i="2"/>
  <c r="R112" i="2" s="1"/>
  <c r="I112" i="2"/>
  <c r="U112" i="2" s="1"/>
  <c r="L112" i="2"/>
  <c r="X112" i="2" s="1"/>
  <c r="C112" i="2"/>
  <c r="O112" i="2" s="1"/>
  <c r="H113" i="2"/>
  <c r="T113" i="2" s="1"/>
  <c r="K113" i="2"/>
  <c r="W113" i="2" s="1"/>
  <c r="B113" i="2"/>
  <c r="N113" i="2" s="1"/>
  <c r="E113" i="2"/>
  <c r="Q113" i="2" s="1"/>
  <c r="G111" i="2"/>
  <c r="S111" i="2" s="1"/>
  <c r="D111" i="2"/>
  <c r="P111" i="2" s="1"/>
  <c r="J111" i="2"/>
  <c r="V111" i="2" s="1"/>
  <c r="M111" i="2"/>
  <c r="Y111" i="2" s="1"/>
  <c r="D112" i="2"/>
  <c r="P112" i="2" s="1"/>
  <c r="G112" i="2"/>
  <c r="S112" i="2" s="1"/>
  <c r="J112" i="2"/>
  <c r="V112" i="2" s="1"/>
  <c r="M112" i="2"/>
  <c r="Y112" i="2" s="1"/>
  <c r="H112" i="2"/>
  <c r="T112" i="2" s="1"/>
  <c r="K112" i="2"/>
  <c r="W112" i="2" s="1"/>
  <c r="B112" i="2"/>
  <c r="N112" i="2" s="1"/>
  <c r="E112" i="2"/>
  <c r="Q112" i="2" s="1"/>
  <c r="F114" i="2"/>
  <c r="R114" i="2" s="1"/>
  <c r="I114" i="2"/>
  <c r="U114" i="2" s="1"/>
  <c r="C114" i="2"/>
  <c r="O114" i="2" s="1"/>
  <c r="L114" i="2"/>
  <c r="X114" i="2" s="1"/>
  <c r="D115" i="2" l="1"/>
  <c r="G115" i="2"/>
  <c r="K105" i="2"/>
  <c r="H105" i="2"/>
  <c r="C105" i="2"/>
  <c r="K115" i="2"/>
  <c r="M115" i="2"/>
  <c r="E105" i="2"/>
  <c r="J115" i="2"/>
  <c r="B105" i="2"/>
  <c r="I115" i="2"/>
  <c r="B115" i="2"/>
  <c r="I105" i="2"/>
  <c r="E115" i="2"/>
  <c r="D105" i="2"/>
  <c r="L105" i="2"/>
  <c r="F105" i="2"/>
  <c r="F115" i="2"/>
  <c r="H115" i="2"/>
  <c r="L115" i="2"/>
  <c r="C115" i="2"/>
  <c r="G105" i="2"/>
  <c r="M105" i="2"/>
  <c r="J105" i="2"/>
  <c r="B106" i="2" l="1"/>
  <c r="B116" i="2"/>
  <c r="K116" i="2"/>
  <c r="H106" i="2"/>
  <c r="H116" i="2"/>
  <c r="E106" i="2"/>
  <c r="E116" i="2"/>
  <c r="K106" i="2"/>
  <c r="K121" i="2" l="1"/>
  <c r="E121" i="2"/>
  <c r="B121" i="2"/>
  <c r="H121" i="2"/>
  <c r="B124" i="2" l="1"/>
  <c r="H124" i="2"/>
  <c r="K124" i="2"/>
  <c r="E124" i="2"/>
</calcChain>
</file>

<file path=xl/sharedStrings.xml><?xml version="1.0" encoding="utf-8"?>
<sst xmlns="http://schemas.openxmlformats.org/spreadsheetml/2006/main" count="115" uniqueCount="37">
  <si>
    <t>Критерии</t>
  </si>
  <si>
    <t>Концепция</t>
  </si>
  <si>
    <t>Веса критериев</t>
  </si>
  <si>
    <t>Средние оценки</t>
  </si>
  <si>
    <t>Xmax</t>
  </si>
  <si>
    <t>Xmin</t>
  </si>
  <si>
    <t>Вес</t>
  </si>
  <si>
    <t>Оценки критериев с учетом веса</t>
  </si>
  <si>
    <t>Рейтинг концепции</t>
  </si>
  <si>
    <t>Перевод матрицы в безразмерный вид</t>
  </si>
  <si>
    <t>Сумма x2</t>
  </si>
  <si>
    <t>Нормированные оценки альтернатив</t>
  </si>
  <si>
    <t>Идеальные решения</t>
  </si>
  <si>
    <t>А+</t>
  </si>
  <si>
    <t>А-</t>
  </si>
  <si>
    <t>Расстояние до идеально-позитивного решения</t>
  </si>
  <si>
    <t>S+</t>
  </si>
  <si>
    <t>Расстояние до идеально-негативного решения</t>
  </si>
  <si>
    <t>Относительная близость к идеально-позитивному</t>
  </si>
  <si>
    <t>P+</t>
  </si>
  <si>
    <t>Рейтинг</t>
  </si>
  <si>
    <t>Уровень конкуренции</t>
  </si>
  <si>
    <t>Техническая осуществимость</t>
  </si>
  <si>
    <t>Окупаемость проекта по времени</t>
  </si>
  <si>
    <t>Простота использования</t>
  </si>
  <si>
    <t>Нормировка</t>
  </si>
  <si>
    <t>Веса</t>
  </si>
  <si>
    <t>Оценки с весами</t>
  </si>
  <si>
    <t>пес</t>
  </si>
  <si>
    <t>реал</t>
  </si>
  <si>
    <t>опт</t>
  </si>
  <si>
    <t>Саввин</t>
  </si>
  <si>
    <t>Копоть</t>
  </si>
  <si>
    <t>SmartExpense</t>
  </si>
  <si>
    <t>EventHub</t>
  </si>
  <si>
    <t>Skilltrack</t>
  </si>
  <si>
    <t>StudyFlow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</si>
</sst>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2"/>
      <color theme="1"/>
      <name val="Calibri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i/>
      <sz val="10"/>
      <color theme="1"/>
      <name val="Calibri"/>
      <family val="2"/>
      <charset val="204"/>
    </font>
    <font>
      <sz val="12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164" fontId="2" fillId="0" borderId="10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164" fontId="2" fillId="0" borderId="11" xfId="0" applyNumberFormat="1" applyFont="1" applyFill="1" applyBorder="1" applyAlignment="1">
      <alignment vertical="center" wrapText="1"/>
    </xf>
    <xf numFmtId="164" fontId="2" fillId="0" borderId="0" xfId="0" applyNumberFormat="1" applyFont="1" applyFill="1" applyAlignment="1">
      <alignment vertical="center" wrapText="1"/>
    </xf>
    <xf numFmtId="0" fontId="6" fillId="0" borderId="0" xfId="0" applyFont="1" applyFill="1"/>
    <xf numFmtId="0" fontId="2" fillId="0" borderId="1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1" fontId="2" fillId="0" borderId="10" xfId="0" applyNumberFormat="1" applyFont="1" applyFill="1" applyBorder="1" applyAlignment="1">
      <alignment vertical="center" wrapText="1"/>
    </xf>
    <xf numFmtId="2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/>
    <xf numFmtId="0" fontId="4" fillId="0" borderId="5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/>
    <xf numFmtId="0" fontId="2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/>
    <xf numFmtId="0" fontId="4" fillId="0" borderId="9" xfId="0" applyFont="1" applyFill="1" applyBorder="1"/>
    <xf numFmtId="0" fontId="2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/>
    <xf numFmtId="0" fontId="7" fillId="0" borderId="7" xfId="0" applyFont="1" applyFill="1" applyBorder="1" applyAlignment="1">
      <alignment horizontal="center" vertical="center"/>
    </xf>
    <xf numFmtId="0" fontId="4" fillId="0" borderId="11" xfId="0" applyFont="1" applyBorder="1"/>
    <xf numFmtId="164" fontId="2" fillId="0" borderId="7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/>
    </xf>
    <xf numFmtId="0" fontId="4" fillId="0" borderId="11" xfId="0" applyFont="1" applyFill="1" applyBorder="1"/>
    <xf numFmtId="0" fontId="6" fillId="0" borderId="1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topLeftCell="A6" workbookViewId="0">
      <selection activeCell="B2" sqref="B2"/>
    </sheetView>
  </sheetViews>
  <sheetFormatPr defaultColWidth="11.1640625" defaultRowHeight="15" customHeight="1" x14ac:dyDescent="0.35"/>
  <cols>
    <col min="1" max="1" width="23.25" customWidth="1"/>
    <col min="2" max="2" width="16.75" customWidth="1"/>
    <col min="3" max="3" width="16.33203125" customWidth="1"/>
    <col min="4" max="4" width="14.58203125" customWidth="1"/>
    <col min="5" max="5" width="15.83203125" customWidth="1"/>
    <col min="6" max="6" width="10.5" customWidth="1"/>
    <col min="7" max="7" width="7.1640625" customWidth="1"/>
    <col min="8" max="8" width="7.08203125" customWidth="1"/>
    <col min="9" max="9" width="7.1640625" customWidth="1"/>
    <col min="10" max="10" width="7.5" customWidth="1"/>
    <col min="11" max="11" width="8.83203125" customWidth="1"/>
    <col min="12" max="12" width="7.4140625" customWidth="1"/>
    <col min="13" max="13" width="7.08203125" customWidth="1"/>
    <col min="14" max="14" width="6.6640625" customWidth="1"/>
    <col min="15" max="15" width="7.83203125" customWidth="1"/>
    <col min="16" max="16" width="8.33203125" customWidth="1"/>
    <col min="17" max="17" width="9" customWidth="1"/>
    <col min="18" max="18" width="8.58203125" customWidth="1"/>
    <col min="19" max="19" width="7.6640625" customWidth="1"/>
    <col min="20" max="21" width="8.33203125" customWidth="1"/>
    <col min="22" max="22" width="8.58203125" customWidth="1"/>
    <col min="23" max="23" width="7.58203125" customWidth="1"/>
    <col min="24" max="24" width="8.1640625" customWidth="1"/>
    <col min="25" max="25" width="7.08203125" customWidth="1"/>
    <col min="26" max="26" width="5.83203125" customWidth="1"/>
  </cols>
  <sheetData>
    <row r="1" spans="1:14" ht="15.75" customHeight="1" x14ac:dyDescent="0.35">
      <c r="A1" s="38" t="s">
        <v>0</v>
      </c>
      <c r="B1" s="38" t="s">
        <v>1</v>
      </c>
      <c r="C1" s="47"/>
      <c r="D1" s="47"/>
      <c r="E1" s="47"/>
      <c r="F1" s="38" t="s">
        <v>2</v>
      </c>
      <c r="G1" s="1"/>
      <c r="H1" s="1"/>
      <c r="I1" s="1"/>
      <c r="J1" s="1"/>
      <c r="K1" s="1"/>
      <c r="L1" s="1"/>
      <c r="M1" s="1"/>
    </row>
    <row r="2" spans="1:14" ht="30.65" customHeight="1" x14ac:dyDescent="0.35">
      <c r="A2" s="47"/>
      <c r="B2" s="12" t="s">
        <v>36</v>
      </c>
      <c r="C2" s="12" t="s">
        <v>35</v>
      </c>
      <c r="D2" s="12" t="s">
        <v>33</v>
      </c>
      <c r="E2" s="12" t="s">
        <v>34</v>
      </c>
      <c r="F2" s="47"/>
      <c r="G2" s="2"/>
      <c r="H2" s="2"/>
      <c r="I2" s="2"/>
      <c r="J2" s="2"/>
      <c r="K2" s="2"/>
      <c r="L2" s="2"/>
      <c r="M2" s="2"/>
      <c r="N2" s="2"/>
    </row>
    <row r="3" spans="1:14" ht="25.25" customHeight="1" x14ac:dyDescent="0.35">
      <c r="A3" s="38" t="s">
        <v>21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</row>
    <row r="4" spans="1:14" ht="14.4" customHeight="1" x14ac:dyDescent="0.35">
      <c r="A4" s="13" t="s">
        <v>31</v>
      </c>
      <c r="B4" s="12">
        <v>7</v>
      </c>
      <c r="C4" s="12">
        <v>5</v>
      </c>
      <c r="D4" s="12">
        <v>3</v>
      </c>
      <c r="E4" s="12">
        <v>8</v>
      </c>
      <c r="F4" s="12">
        <v>0.25</v>
      </c>
      <c r="G4" s="2"/>
      <c r="H4" s="2"/>
      <c r="I4" s="2"/>
      <c r="J4" s="2"/>
      <c r="K4" s="2"/>
      <c r="L4" s="2"/>
      <c r="M4" s="2"/>
      <c r="N4" s="2"/>
    </row>
    <row r="5" spans="1:14" ht="13.75" customHeight="1" x14ac:dyDescent="0.35">
      <c r="A5" s="13" t="s">
        <v>32</v>
      </c>
      <c r="B5" s="12">
        <v>2</v>
      </c>
      <c r="C5" s="12">
        <v>4</v>
      </c>
      <c r="D5" s="12">
        <v>5</v>
      </c>
      <c r="E5" s="12">
        <v>2</v>
      </c>
      <c r="F5" s="12">
        <v>0.2</v>
      </c>
      <c r="G5" s="2"/>
      <c r="H5" s="2"/>
      <c r="I5" s="2"/>
      <c r="J5" s="2"/>
      <c r="K5" s="2"/>
      <c r="L5" s="2"/>
      <c r="M5" s="2"/>
      <c r="N5" s="2"/>
    </row>
    <row r="6" spans="1:14" ht="26" customHeight="1" x14ac:dyDescent="0.35">
      <c r="A6" s="38" t="s">
        <v>22</v>
      </c>
      <c r="B6" s="38"/>
      <c r="C6" s="38"/>
      <c r="D6" s="38"/>
      <c r="E6" s="38"/>
      <c r="F6" s="38"/>
      <c r="G6" s="2"/>
      <c r="H6" s="2"/>
      <c r="I6" s="2"/>
      <c r="J6" s="2"/>
      <c r="K6" s="2"/>
      <c r="L6" s="2"/>
      <c r="M6" s="2"/>
      <c r="N6" s="2"/>
    </row>
    <row r="7" spans="1:14" ht="15.75" customHeight="1" x14ac:dyDescent="0.35">
      <c r="A7" s="13" t="s">
        <v>31</v>
      </c>
      <c r="B7" s="12">
        <v>3</v>
      </c>
      <c r="C7" s="12">
        <v>2</v>
      </c>
      <c r="D7" s="12">
        <v>7</v>
      </c>
      <c r="E7" s="12">
        <v>9</v>
      </c>
      <c r="F7" s="12">
        <v>0.25</v>
      </c>
      <c r="G7" s="2"/>
      <c r="H7" s="2"/>
      <c r="I7" s="2"/>
      <c r="J7" s="2"/>
      <c r="K7" s="2"/>
      <c r="L7" s="2"/>
      <c r="M7" s="2"/>
      <c r="N7" s="2"/>
    </row>
    <row r="8" spans="1:14" ht="15.75" customHeight="1" x14ac:dyDescent="0.35">
      <c r="A8" s="13" t="s">
        <v>32</v>
      </c>
      <c r="B8" s="12">
        <v>7</v>
      </c>
      <c r="C8" s="12">
        <v>5</v>
      </c>
      <c r="D8" s="12">
        <v>6</v>
      </c>
      <c r="E8" s="12">
        <v>8</v>
      </c>
      <c r="F8" s="12">
        <v>0.1</v>
      </c>
      <c r="G8" s="2"/>
      <c r="H8" s="2"/>
      <c r="I8" s="2"/>
      <c r="J8" s="2"/>
      <c r="K8" s="2"/>
      <c r="L8" s="2"/>
      <c r="M8" s="2"/>
      <c r="N8" s="2"/>
    </row>
    <row r="9" spans="1:14" ht="15.75" customHeight="1" x14ac:dyDescent="0.35">
      <c r="A9" s="38" t="s">
        <v>23</v>
      </c>
      <c r="B9" s="38"/>
      <c r="C9" s="38"/>
      <c r="D9" s="38"/>
      <c r="E9" s="38"/>
      <c r="F9" s="38"/>
      <c r="G9" s="2"/>
      <c r="H9" s="2"/>
      <c r="I9" s="2"/>
      <c r="J9" s="2"/>
      <c r="K9" s="2"/>
      <c r="L9" s="2"/>
      <c r="M9" s="2"/>
      <c r="N9" s="2"/>
    </row>
    <row r="10" spans="1:14" ht="14.4" customHeight="1" x14ac:dyDescent="0.35">
      <c r="A10" s="13" t="s">
        <v>31</v>
      </c>
      <c r="B10" s="12">
        <v>3</v>
      </c>
      <c r="C10" s="12">
        <v>5</v>
      </c>
      <c r="D10" s="12">
        <v>6</v>
      </c>
      <c r="E10" s="12">
        <v>9</v>
      </c>
      <c r="F10" s="12">
        <v>0.25</v>
      </c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35">
      <c r="A11" s="13" t="s">
        <v>32</v>
      </c>
      <c r="B11" s="12">
        <v>3</v>
      </c>
      <c r="C11" s="12">
        <v>5</v>
      </c>
      <c r="D11" s="12">
        <v>7</v>
      </c>
      <c r="E11" s="12">
        <v>6</v>
      </c>
      <c r="F11" s="12">
        <v>0.1</v>
      </c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35">
      <c r="A12" s="38" t="s">
        <v>24</v>
      </c>
      <c r="B12" s="47"/>
      <c r="C12" s="47"/>
      <c r="D12" s="47"/>
      <c r="E12" s="47"/>
      <c r="F12" s="47"/>
      <c r="G12" s="2"/>
      <c r="H12" s="2"/>
      <c r="I12" s="2"/>
      <c r="J12" s="2"/>
      <c r="K12" s="2"/>
      <c r="L12" s="2"/>
      <c r="M12" s="2"/>
      <c r="N12" s="2"/>
    </row>
    <row r="13" spans="1:14" ht="15.75" customHeight="1" x14ac:dyDescent="0.35">
      <c r="A13" s="13" t="s">
        <v>31</v>
      </c>
      <c r="B13" s="12">
        <v>4</v>
      </c>
      <c r="C13" s="12">
        <v>7</v>
      </c>
      <c r="D13" s="12">
        <v>8</v>
      </c>
      <c r="E13" s="12">
        <v>6</v>
      </c>
      <c r="F13" s="12">
        <v>0.25</v>
      </c>
      <c r="G13" s="2"/>
      <c r="H13" s="2"/>
      <c r="I13" s="2"/>
      <c r="J13" s="2"/>
      <c r="K13" s="2"/>
      <c r="L13" s="2"/>
      <c r="M13" s="2"/>
      <c r="N13" s="2"/>
    </row>
    <row r="14" spans="1:14" ht="15.75" customHeight="1" x14ac:dyDescent="0.35">
      <c r="A14" s="13" t="s">
        <v>32</v>
      </c>
      <c r="B14" s="12">
        <v>1</v>
      </c>
      <c r="C14" s="12">
        <v>5</v>
      </c>
      <c r="D14" s="12">
        <v>7</v>
      </c>
      <c r="E14" s="12">
        <v>6</v>
      </c>
      <c r="F14" s="12">
        <v>0.6</v>
      </c>
      <c r="G14" s="2"/>
      <c r="H14" s="2"/>
      <c r="I14" s="2"/>
      <c r="J14" s="2"/>
      <c r="K14" s="2"/>
      <c r="L14" s="2"/>
      <c r="M14" s="2"/>
      <c r="N14" s="2"/>
    </row>
    <row r="15" spans="1:14" ht="15.75" customHeight="1" x14ac:dyDescent="0.35">
      <c r="G15" s="2"/>
      <c r="H15" s="2"/>
      <c r="I15" s="2"/>
      <c r="J15" s="2"/>
      <c r="K15" s="2"/>
      <c r="L15" s="2"/>
      <c r="M15" s="2"/>
      <c r="N15" s="2"/>
    </row>
    <row r="16" spans="1:14" ht="15.75" customHeight="1" x14ac:dyDescent="0.35">
      <c r="G16" s="2"/>
      <c r="H16" s="2"/>
      <c r="I16" s="2"/>
      <c r="J16" s="2"/>
      <c r="K16" s="2"/>
      <c r="L16" s="2"/>
      <c r="M16" s="2"/>
      <c r="N16" s="2"/>
    </row>
    <row r="17" spans="1:25" ht="15.75" customHeight="1" x14ac:dyDescent="0.35">
      <c r="G17" s="2"/>
      <c r="H17" s="2"/>
      <c r="I17" s="2"/>
      <c r="J17" s="2"/>
      <c r="K17" s="2"/>
      <c r="L17" s="2"/>
      <c r="M17" s="2"/>
      <c r="N17" s="2"/>
    </row>
    <row r="18" spans="1:25" ht="15.75" customHeight="1" x14ac:dyDescent="0.35">
      <c r="F18" s="11"/>
      <c r="G18" s="10"/>
      <c r="H18" s="10"/>
      <c r="I18" s="10"/>
      <c r="J18" s="10"/>
      <c r="K18" s="10"/>
      <c r="L18" s="2"/>
      <c r="M18" s="2"/>
      <c r="N18" s="2"/>
    </row>
    <row r="19" spans="1:25" ht="15.75" customHeight="1" x14ac:dyDescent="0.35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"/>
    </row>
    <row r="20" spans="1:25" ht="15.75" customHeight="1" x14ac:dyDescent="0.35">
      <c r="A20" s="38" t="s">
        <v>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3"/>
    </row>
    <row r="21" spans="1:25" ht="15.75" customHeight="1" x14ac:dyDescent="0.35">
      <c r="A21" s="38" t="s">
        <v>0</v>
      </c>
      <c r="B21" s="38" t="s">
        <v>1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8" t="s">
        <v>2</v>
      </c>
    </row>
    <row r="22" spans="1:25" ht="15.75" customHeight="1" x14ac:dyDescent="0.35">
      <c r="A22" s="46"/>
      <c r="B22" s="38" t="s">
        <v>36</v>
      </c>
      <c r="C22" s="38"/>
      <c r="D22" s="38"/>
      <c r="E22" s="38" t="s">
        <v>35</v>
      </c>
      <c r="F22" s="38"/>
      <c r="G22" s="38"/>
      <c r="H22" s="38" t="s">
        <v>33</v>
      </c>
      <c r="I22" s="38"/>
      <c r="J22" s="38"/>
      <c r="K22" s="38" t="s">
        <v>34</v>
      </c>
      <c r="L22" s="38"/>
      <c r="M22" s="38"/>
      <c r="N22" s="46"/>
    </row>
    <row r="23" spans="1:25" ht="28.25" customHeight="1" x14ac:dyDescent="0.35">
      <c r="A23" s="46"/>
      <c r="B23" s="12" t="s">
        <v>28</v>
      </c>
      <c r="C23" s="12" t="s">
        <v>29</v>
      </c>
      <c r="D23" s="12" t="s">
        <v>30</v>
      </c>
      <c r="E23" s="12" t="s">
        <v>28</v>
      </c>
      <c r="F23" s="12" t="s">
        <v>29</v>
      </c>
      <c r="G23" s="12" t="s">
        <v>30</v>
      </c>
      <c r="H23" s="12" t="s">
        <v>28</v>
      </c>
      <c r="I23" s="12" t="s">
        <v>29</v>
      </c>
      <c r="J23" s="12" t="s">
        <v>30</v>
      </c>
      <c r="K23" s="12" t="s">
        <v>28</v>
      </c>
      <c r="L23" s="12" t="s">
        <v>29</v>
      </c>
      <c r="M23" s="12" t="s">
        <v>30</v>
      </c>
      <c r="N23" s="46"/>
    </row>
    <row r="24" spans="1:25" ht="23.4" customHeight="1" x14ac:dyDescent="0.35">
      <c r="A24" s="12" t="s">
        <v>21</v>
      </c>
      <c r="B24" s="12">
        <f>MIN(B4:B5)</f>
        <v>2</v>
      </c>
      <c r="C24" s="12">
        <v>4</v>
      </c>
      <c r="D24" s="12">
        <f>MAX(B4:B5)</f>
        <v>7</v>
      </c>
      <c r="E24" s="12">
        <f>MIN($C4:$C5)</f>
        <v>4</v>
      </c>
      <c r="F24" s="12">
        <v>4</v>
      </c>
      <c r="G24" s="12">
        <f>MAX($C4:$C5)</f>
        <v>5</v>
      </c>
      <c r="H24" s="12">
        <f>MIN($D4:$D5)</f>
        <v>3</v>
      </c>
      <c r="I24" s="12">
        <v>5</v>
      </c>
      <c r="J24" s="12">
        <f>MAX($D4:$D5)</f>
        <v>5</v>
      </c>
      <c r="K24" s="12">
        <f>MIN($E4:$E5)</f>
        <v>2</v>
      </c>
      <c r="L24" s="12">
        <v>3</v>
      </c>
      <c r="M24" s="12">
        <f>MAX($E4:$E5)</f>
        <v>8</v>
      </c>
      <c r="N24" s="12">
        <f>AVERAGE(F4:F5)</f>
        <v>0.22500000000000001</v>
      </c>
    </row>
    <row r="25" spans="1:25" ht="33" customHeight="1" x14ac:dyDescent="0.35">
      <c r="A25" s="12" t="s">
        <v>22</v>
      </c>
      <c r="B25" s="12">
        <f>MIN(B7:B8)</f>
        <v>3</v>
      </c>
      <c r="C25" s="12">
        <v>6</v>
      </c>
      <c r="D25" s="12">
        <f>MAX(B7:B8)</f>
        <v>7</v>
      </c>
      <c r="E25" s="12">
        <f>MIN($C7:$C8)</f>
        <v>2</v>
      </c>
      <c r="F25" s="12">
        <f>AVERAGE($C7:$C8)</f>
        <v>3.5</v>
      </c>
      <c r="G25" s="12">
        <f>MAX($C7:$C8)</f>
        <v>5</v>
      </c>
      <c r="H25" s="12">
        <f>MIN($D7:$D8)</f>
        <v>6</v>
      </c>
      <c r="I25" s="12">
        <v>7</v>
      </c>
      <c r="J25" s="12">
        <f>MAX($D7:$D8)</f>
        <v>7</v>
      </c>
      <c r="K25" s="12">
        <f>MIN($E7:$E8)</f>
        <v>8</v>
      </c>
      <c r="L25" s="12">
        <v>8</v>
      </c>
      <c r="M25" s="12">
        <f>MAX($E7:$E8)</f>
        <v>9</v>
      </c>
      <c r="N25" s="12">
        <f>AVERAGE(F7:F8)</f>
        <v>0.17499999999999999</v>
      </c>
    </row>
    <row r="26" spans="1:25" ht="32.4" customHeight="1" x14ac:dyDescent="0.35">
      <c r="A26" s="12" t="s">
        <v>23</v>
      </c>
      <c r="B26" s="12">
        <f>MIN(B10:B14)</f>
        <v>1</v>
      </c>
      <c r="C26" s="12">
        <v>2</v>
      </c>
      <c r="D26" s="12">
        <f>MAX(B10:B14)</f>
        <v>4</v>
      </c>
      <c r="E26" s="12">
        <f>MIN($C10:$C14)</f>
        <v>5</v>
      </c>
      <c r="F26" s="12">
        <f>AVERAGE($C10:$C14)</f>
        <v>5.5</v>
      </c>
      <c r="G26" s="12">
        <f>MAX($C10:$C14)</f>
        <v>7</v>
      </c>
      <c r="H26" s="12">
        <f>MIN($D10:$D14)</f>
        <v>6</v>
      </c>
      <c r="I26" s="12">
        <f>AVERAGE($D10:$D14)</f>
        <v>7</v>
      </c>
      <c r="J26" s="12">
        <f>MAX($D10:$D14)</f>
        <v>8</v>
      </c>
      <c r="K26" s="12">
        <f>MIN($E10:$E14)</f>
        <v>6</v>
      </c>
      <c r="L26" s="12">
        <v>5</v>
      </c>
      <c r="M26" s="12">
        <f>MAX($E10:$E14)</f>
        <v>9</v>
      </c>
      <c r="N26" s="12">
        <f>AVERAGE(F10:F14)</f>
        <v>0.3</v>
      </c>
    </row>
    <row r="27" spans="1:25" ht="27" customHeight="1" x14ac:dyDescent="0.35">
      <c r="A27" s="12" t="s">
        <v>24</v>
      </c>
      <c r="B27" s="12">
        <f>MIN(B13:B18)</f>
        <v>1</v>
      </c>
      <c r="C27" s="12">
        <f>AVERAGE(B13:B18)</f>
        <v>2.5</v>
      </c>
      <c r="D27" s="12">
        <f>MAX(B13:B18)</f>
        <v>4</v>
      </c>
      <c r="E27" s="12">
        <f>MIN($C13:$C18)</f>
        <v>5</v>
      </c>
      <c r="F27" s="12">
        <v>8</v>
      </c>
      <c r="G27" s="12">
        <f>MAX($C13:$C18)</f>
        <v>7</v>
      </c>
      <c r="H27" s="12">
        <f>MIN($D13:$D18)</f>
        <v>7</v>
      </c>
      <c r="I27" s="12">
        <f>AVERAGE($D13:$D18)</f>
        <v>7.5</v>
      </c>
      <c r="J27" s="12">
        <f>MAX($D13:$D18)</f>
        <v>8</v>
      </c>
      <c r="K27" s="12">
        <f>MIN($E13:$E18)</f>
        <v>6</v>
      </c>
      <c r="L27" s="12">
        <v>5</v>
      </c>
      <c r="M27" s="12">
        <f>MAX($E13:$E18)</f>
        <v>6</v>
      </c>
      <c r="N27" s="12">
        <f>AVERAGE(F13:F18)</f>
        <v>0.42499999999999999</v>
      </c>
    </row>
    <row r="28" spans="1:25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25" ht="15.75" customHeight="1" x14ac:dyDescent="0.35"/>
    <row r="30" spans="1:25" ht="15.75" customHeight="1" x14ac:dyDescent="0.35"/>
    <row r="31" spans="1:25" ht="15.75" customHeight="1" x14ac:dyDescent="0.35">
      <c r="A31" s="4"/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T31" s="5"/>
      <c r="U31" s="5"/>
      <c r="V31" s="5"/>
      <c r="W31" s="5"/>
      <c r="X31" s="5"/>
      <c r="Y31" s="5"/>
    </row>
    <row r="32" spans="1:25" ht="15.75" customHeight="1" x14ac:dyDescent="0.35">
      <c r="A32" s="9"/>
      <c r="B32" s="4"/>
      <c r="C32" s="9"/>
      <c r="D32" s="9"/>
      <c r="E32" s="4"/>
      <c r="F32" s="9"/>
      <c r="G32" s="9"/>
      <c r="H32" s="4"/>
      <c r="I32" s="9"/>
      <c r="J32" s="9"/>
      <c r="K32" s="4"/>
      <c r="L32" s="9"/>
      <c r="M32" s="9"/>
      <c r="T32" s="5"/>
      <c r="U32" s="5"/>
      <c r="V32" s="5"/>
      <c r="W32" s="5"/>
      <c r="X32" s="5"/>
      <c r="Y32" s="5"/>
    </row>
    <row r="33" spans="1:25" ht="13.25" customHeight="1" x14ac:dyDescent="0.3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T33" s="5"/>
      <c r="U33" s="5"/>
      <c r="V33" s="5"/>
      <c r="W33" s="5"/>
      <c r="X33" s="5"/>
      <c r="Y33" s="5"/>
    </row>
    <row r="34" spans="1:25" ht="12" customHeight="1" x14ac:dyDescent="0.35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T34" s="5"/>
      <c r="U34" s="5"/>
      <c r="V34" s="5"/>
      <c r="W34" s="5"/>
      <c r="X34" s="5"/>
      <c r="Y34" s="5"/>
    </row>
    <row r="35" spans="1:25" ht="12.65" customHeight="1" x14ac:dyDescent="0.3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T35" s="5"/>
      <c r="U35" s="5"/>
      <c r="V35" s="5"/>
      <c r="W35" s="5"/>
      <c r="X35" s="5"/>
      <c r="Y35" s="5"/>
    </row>
    <row r="36" spans="1:25" ht="11.4" customHeight="1" x14ac:dyDescent="0.3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T36" s="5"/>
      <c r="U36" s="5"/>
      <c r="V36" s="5"/>
      <c r="W36" s="5"/>
      <c r="X36" s="5"/>
      <c r="Y36" s="5"/>
    </row>
    <row r="37" spans="1:25" ht="15.75" customHeight="1" x14ac:dyDescent="0.3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5"/>
      <c r="R37" s="5"/>
      <c r="S37" s="5"/>
      <c r="T37" s="5"/>
      <c r="U37" s="5"/>
      <c r="V37" s="5"/>
      <c r="W37" s="5"/>
      <c r="X37" s="5"/>
      <c r="Y37" s="5"/>
    </row>
    <row r="38" spans="1:25" ht="24.65" customHeight="1" x14ac:dyDescent="0.35">
      <c r="A38" s="38" t="s">
        <v>25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5"/>
      <c r="O38" s="40" t="s">
        <v>4</v>
      </c>
      <c r="P38" s="41"/>
      <c r="Q38" s="41"/>
      <c r="R38" s="40" t="s">
        <v>5</v>
      </c>
      <c r="S38" s="41"/>
      <c r="T38" s="41"/>
      <c r="U38" s="5"/>
      <c r="V38" s="5"/>
      <c r="W38" s="5"/>
      <c r="X38" s="5"/>
      <c r="Y38" s="5"/>
    </row>
    <row r="39" spans="1:25" ht="15.75" customHeight="1" x14ac:dyDescent="0.35">
      <c r="A39" s="33" t="s">
        <v>0</v>
      </c>
      <c r="B39" s="30" t="s">
        <v>1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2"/>
      <c r="N39" s="5"/>
      <c r="O39" s="43"/>
      <c r="P39" s="41"/>
      <c r="Q39" s="41"/>
      <c r="R39" s="41"/>
      <c r="S39" s="41"/>
      <c r="T39" s="41"/>
      <c r="W39" s="5"/>
      <c r="X39" s="5"/>
      <c r="Y39" s="5"/>
    </row>
    <row r="40" spans="1:25" ht="15.75" customHeight="1" x14ac:dyDescent="0.35">
      <c r="A40" s="34"/>
      <c r="B40" s="35" t="s">
        <v>36</v>
      </c>
      <c r="C40" s="36"/>
      <c r="D40" s="37"/>
      <c r="E40" s="35" t="s">
        <v>35</v>
      </c>
      <c r="F40" s="36"/>
      <c r="G40" s="37"/>
      <c r="H40" s="35" t="s">
        <v>33</v>
      </c>
      <c r="I40" s="36"/>
      <c r="J40" s="37"/>
      <c r="K40" s="35" t="s">
        <v>34</v>
      </c>
      <c r="L40" s="36"/>
      <c r="M40" s="37"/>
      <c r="N40" s="5"/>
      <c r="O40" s="7">
        <f>MAX(B24,E24,H24,K24)</f>
        <v>4</v>
      </c>
      <c r="P40" s="7">
        <f t="shared" ref="P40:Q40" si="0">MAX(C24,F24,I24,L24)</f>
        <v>5</v>
      </c>
      <c r="Q40" s="7">
        <f t="shared" si="0"/>
        <v>8</v>
      </c>
      <c r="R40" s="8">
        <f>MIN(B24,E24,H24,K24)</f>
        <v>2</v>
      </c>
      <c r="S40" s="8">
        <f t="shared" ref="S40:T40" si="1">MIN(C24,F24,I24,L24)</f>
        <v>3</v>
      </c>
      <c r="T40" s="8">
        <f t="shared" si="1"/>
        <v>5</v>
      </c>
      <c r="W40" s="5"/>
      <c r="X40" s="5"/>
      <c r="Y40" s="5"/>
    </row>
    <row r="41" spans="1:25" ht="15.75" customHeight="1" x14ac:dyDescent="0.35">
      <c r="A41" s="14">
        <v>1</v>
      </c>
      <c r="B41" s="15">
        <f>(B24-$R40)/($O40-$R40)</f>
        <v>0</v>
      </c>
      <c r="C41" s="15">
        <f t="shared" ref="C41:M41" si="2">(C24-$R40)/($O40-$R40)</f>
        <v>1</v>
      </c>
      <c r="D41" s="15">
        <f t="shared" si="2"/>
        <v>2.5</v>
      </c>
      <c r="E41" s="15">
        <f t="shared" si="2"/>
        <v>1</v>
      </c>
      <c r="F41" s="15">
        <f t="shared" si="2"/>
        <v>1</v>
      </c>
      <c r="G41" s="15">
        <f t="shared" si="2"/>
        <v>1.5</v>
      </c>
      <c r="H41" s="15">
        <f t="shared" si="2"/>
        <v>0.5</v>
      </c>
      <c r="I41" s="15">
        <f t="shared" si="2"/>
        <v>1.5</v>
      </c>
      <c r="J41" s="15">
        <f t="shared" si="2"/>
        <v>1.5</v>
      </c>
      <c r="K41" s="15">
        <f t="shared" si="2"/>
        <v>0</v>
      </c>
      <c r="L41" s="15">
        <f t="shared" si="2"/>
        <v>0.5</v>
      </c>
      <c r="M41" s="15">
        <f t="shared" si="2"/>
        <v>3</v>
      </c>
      <c r="N41" s="5"/>
      <c r="O41" s="7">
        <f t="shared" ref="O41:O43" si="3">MAX(B25,E25,H25,K25)</f>
        <v>8</v>
      </c>
      <c r="P41" s="7">
        <f t="shared" ref="P41:P43" si="4">MAX(C25,F25,I25,L25)</f>
        <v>8</v>
      </c>
      <c r="Q41" s="7">
        <f t="shared" ref="Q41:Q43" si="5">MAX(D25,G25,J25,M25)</f>
        <v>9</v>
      </c>
      <c r="R41" s="8">
        <f t="shared" ref="R41:R43" si="6">MIN(B25,E25,H25,K25)</f>
        <v>2</v>
      </c>
      <c r="S41" s="8">
        <f t="shared" ref="S41:S43" si="7">MIN(C25,F25,I25,L25)</f>
        <v>3.5</v>
      </c>
      <c r="T41" s="8">
        <f t="shared" ref="T41:T43" si="8">MIN(D25,G25,J25,M25)</f>
        <v>5</v>
      </c>
      <c r="W41" s="5"/>
      <c r="X41" s="5"/>
      <c r="Y41" s="5"/>
    </row>
    <row r="42" spans="1:25" ht="15.75" customHeight="1" x14ac:dyDescent="0.35">
      <c r="A42" s="14">
        <v>2</v>
      </c>
      <c r="B42" s="15">
        <f>(B25-$R41)/($O41-$R41)</f>
        <v>0.16666666666666666</v>
      </c>
      <c r="C42" s="15">
        <f t="shared" ref="C42:C44" si="9">(C25-$R41)/($O41-$R41)</f>
        <v>0.66666666666666663</v>
      </c>
      <c r="D42" s="15">
        <f t="shared" ref="D42:D44" si="10">(D25-$R41)/($O41-$R41)</f>
        <v>0.83333333333333337</v>
      </c>
      <c r="E42" s="15">
        <f t="shared" ref="E42:E44" si="11">(E25-$R41)/($O41-$R41)</f>
        <v>0</v>
      </c>
      <c r="F42" s="15">
        <f t="shared" ref="F42:F44" si="12">(F25-$R41)/($O41-$R41)</f>
        <v>0.25</v>
      </c>
      <c r="G42" s="15">
        <f t="shared" ref="G42:G44" si="13">(G25-$R41)/($O41-$R41)</f>
        <v>0.5</v>
      </c>
      <c r="H42" s="15">
        <f t="shared" ref="H42:H44" si="14">(H25-$R41)/($O41-$R41)</f>
        <v>0.66666666666666663</v>
      </c>
      <c r="I42" s="15">
        <f t="shared" ref="I42:I44" si="15">(I25-$R41)/($O41-$R41)</f>
        <v>0.83333333333333337</v>
      </c>
      <c r="J42" s="15">
        <f t="shared" ref="J42:J44" si="16">(J25-$R41)/($O41-$R41)</f>
        <v>0.83333333333333337</v>
      </c>
      <c r="K42" s="15">
        <f t="shared" ref="K42:K44" si="17">(K25-$R41)/($O41-$R41)</f>
        <v>1</v>
      </c>
      <c r="L42" s="15">
        <f t="shared" ref="L42:L44" si="18">(L25-$R41)/($O41-$R41)</f>
        <v>1</v>
      </c>
      <c r="M42" s="15">
        <f t="shared" ref="M42:M44" si="19">(M25-$R41)/($O41-$R41)</f>
        <v>1.1666666666666667</v>
      </c>
      <c r="N42" s="5"/>
      <c r="O42" s="7">
        <f t="shared" si="3"/>
        <v>6</v>
      </c>
      <c r="P42" s="7">
        <f t="shared" si="4"/>
        <v>7</v>
      </c>
      <c r="Q42" s="7">
        <f t="shared" si="5"/>
        <v>9</v>
      </c>
      <c r="R42" s="8">
        <f t="shared" si="6"/>
        <v>1</v>
      </c>
      <c r="S42" s="8">
        <f t="shared" si="7"/>
        <v>2</v>
      </c>
      <c r="T42" s="8">
        <f t="shared" si="8"/>
        <v>4</v>
      </c>
      <c r="W42" s="5"/>
      <c r="X42" s="5"/>
      <c r="Y42" s="5"/>
    </row>
    <row r="43" spans="1:25" ht="15.75" customHeight="1" x14ac:dyDescent="0.35">
      <c r="A43" s="14">
        <v>3</v>
      </c>
      <c r="B43" s="15">
        <f t="shared" ref="B43:B44" si="20">(B26-$R42)/($O42-$R42)</f>
        <v>0</v>
      </c>
      <c r="C43" s="15">
        <f t="shared" si="9"/>
        <v>0.2</v>
      </c>
      <c r="D43" s="15">
        <f>(D26-$R42)/($O42-$R42)</f>
        <v>0.6</v>
      </c>
      <c r="E43" s="15">
        <f t="shared" si="11"/>
        <v>0.8</v>
      </c>
      <c r="F43" s="15">
        <f t="shared" si="12"/>
        <v>0.9</v>
      </c>
      <c r="G43" s="15">
        <f>(G26-$R42)/($O42-$R42)</f>
        <v>1.2</v>
      </c>
      <c r="H43" s="15">
        <f t="shared" si="14"/>
        <v>1</v>
      </c>
      <c r="I43" s="15">
        <f t="shared" si="15"/>
        <v>1.2</v>
      </c>
      <c r="J43" s="15">
        <f t="shared" si="16"/>
        <v>1.4</v>
      </c>
      <c r="K43" s="15">
        <f t="shared" si="17"/>
        <v>1</v>
      </c>
      <c r="L43" s="15">
        <f t="shared" si="18"/>
        <v>0.8</v>
      </c>
      <c r="M43" s="15">
        <f t="shared" si="19"/>
        <v>1.6</v>
      </c>
      <c r="N43" s="5"/>
      <c r="O43" s="7">
        <f t="shared" si="3"/>
        <v>7</v>
      </c>
      <c r="P43" s="7">
        <f t="shared" si="4"/>
        <v>8</v>
      </c>
      <c r="Q43" s="7">
        <f t="shared" si="5"/>
        <v>8</v>
      </c>
      <c r="R43" s="8">
        <f t="shared" si="6"/>
        <v>1</v>
      </c>
      <c r="S43" s="8">
        <f t="shared" si="7"/>
        <v>2.5</v>
      </c>
      <c r="T43" s="8">
        <f t="shared" si="8"/>
        <v>4</v>
      </c>
      <c r="W43" s="5"/>
      <c r="X43" s="5"/>
      <c r="Y43" s="5"/>
    </row>
    <row r="44" spans="1:25" ht="15.75" customHeight="1" x14ac:dyDescent="0.35">
      <c r="A44" s="14">
        <v>4</v>
      </c>
      <c r="B44" s="15">
        <f t="shared" si="20"/>
        <v>0</v>
      </c>
      <c r="C44" s="15">
        <f t="shared" si="9"/>
        <v>0.25</v>
      </c>
      <c r="D44" s="15">
        <f t="shared" si="10"/>
        <v>0.5</v>
      </c>
      <c r="E44" s="15">
        <f t="shared" si="11"/>
        <v>0.66666666666666663</v>
      </c>
      <c r="F44" s="15">
        <f t="shared" si="12"/>
        <v>1.1666666666666667</v>
      </c>
      <c r="G44" s="15">
        <f t="shared" si="13"/>
        <v>1</v>
      </c>
      <c r="H44" s="15">
        <f t="shared" si="14"/>
        <v>1</v>
      </c>
      <c r="I44" s="15">
        <f t="shared" si="15"/>
        <v>1.0833333333333333</v>
      </c>
      <c r="J44" s="15">
        <f t="shared" si="16"/>
        <v>1.1666666666666667</v>
      </c>
      <c r="K44" s="15">
        <f t="shared" si="17"/>
        <v>0.83333333333333337</v>
      </c>
      <c r="L44" s="15">
        <f t="shared" si="18"/>
        <v>0.66666666666666663</v>
      </c>
      <c r="M44" s="15">
        <f t="shared" si="19"/>
        <v>0.83333333333333337</v>
      </c>
      <c r="N44" s="5"/>
      <c r="O44" s="5"/>
      <c r="P44" s="5"/>
      <c r="W44" s="5"/>
      <c r="X44" s="5"/>
      <c r="Y44" s="5"/>
    </row>
    <row r="45" spans="1:25" ht="15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26.4" customHeight="1" x14ac:dyDescent="0.35">
      <c r="A46" s="38" t="s">
        <v>26</v>
      </c>
      <c r="B46" s="3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 x14ac:dyDescent="0.35">
      <c r="A47" s="16" t="s">
        <v>0</v>
      </c>
      <c r="B47" s="16" t="s">
        <v>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 x14ac:dyDescent="0.35">
      <c r="A48" s="14">
        <v>1</v>
      </c>
      <c r="B48" s="15">
        <f>N24</f>
        <v>0.22500000000000001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 x14ac:dyDescent="0.35">
      <c r="A49" s="14">
        <v>2</v>
      </c>
      <c r="B49" s="15">
        <f t="shared" ref="B49:B51" si="21">N25</f>
        <v>0.17499999999999999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 x14ac:dyDescent="0.35">
      <c r="A50" s="14">
        <v>3</v>
      </c>
      <c r="B50" s="15">
        <f t="shared" si="21"/>
        <v>0.3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Y50" s="5"/>
    </row>
    <row r="51" spans="1:25" ht="15.75" customHeight="1" x14ac:dyDescent="0.35">
      <c r="A51" s="14">
        <v>4</v>
      </c>
      <c r="B51" s="15">
        <f t="shared" si="21"/>
        <v>0.42499999999999999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Y51" s="5"/>
    </row>
    <row r="52" spans="1:25" ht="15.7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Y52" s="5"/>
    </row>
    <row r="53" spans="1:25" ht="15.75" customHeight="1" x14ac:dyDescent="0.35">
      <c r="A53" s="38" t="s">
        <v>27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5"/>
      <c r="O53" s="5"/>
      <c r="P53" s="5"/>
      <c r="Q53" s="5"/>
      <c r="R53" s="5"/>
      <c r="Y53" s="5"/>
    </row>
    <row r="54" spans="1:25" ht="23.4" customHeight="1" x14ac:dyDescent="0.35">
      <c r="A54" s="33" t="s">
        <v>0</v>
      </c>
      <c r="B54" s="30" t="s">
        <v>1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2"/>
      <c r="N54" s="5"/>
      <c r="O54" s="5"/>
      <c r="P54" s="5"/>
      <c r="Q54" s="5"/>
      <c r="R54" s="5"/>
      <c r="Y54" s="5"/>
    </row>
    <row r="55" spans="1:25" ht="15.75" customHeight="1" x14ac:dyDescent="0.35">
      <c r="A55" s="34"/>
      <c r="B55" s="35" t="s">
        <v>36</v>
      </c>
      <c r="C55" s="36"/>
      <c r="D55" s="37"/>
      <c r="E55" s="35" t="s">
        <v>35</v>
      </c>
      <c r="F55" s="36"/>
      <c r="G55" s="37"/>
      <c r="H55" s="35" t="s">
        <v>33</v>
      </c>
      <c r="I55" s="36"/>
      <c r="J55" s="37"/>
      <c r="K55" s="35" t="s">
        <v>34</v>
      </c>
      <c r="L55" s="36"/>
      <c r="M55" s="37"/>
      <c r="N55" s="5"/>
      <c r="O55" s="5"/>
      <c r="P55" s="5"/>
      <c r="Q55" s="5"/>
      <c r="R55" s="5"/>
      <c r="Y55" s="5"/>
    </row>
    <row r="56" spans="1:25" ht="15.75" customHeight="1" x14ac:dyDescent="0.35">
      <c r="A56" s="14">
        <v>1</v>
      </c>
      <c r="B56" s="15">
        <f t="shared" ref="B56:M56" si="22">B41*$B48</f>
        <v>0</v>
      </c>
      <c r="C56" s="15">
        <f t="shared" si="22"/>
        <v>0.22500000000000001</v>
      </c>
      <c r="D56" s="15">
        <f t="shared" si="22"/>
        <v>0.5625</v>
      </c>
      <c r="E56" s="15">
        <f t="shared" si="22"/>
        <v>0.22500000000000001</v>
      </c>
      <c r="F56" s="15">
        <f t="shared" si="22"/>
        <v>0.22500000000000001</v>
      </c>
      <c r="G56" s="15">
        <f t="shared" si="22"/>
        <v>0.33750000000000002</v>
      </c>
      <c r="H56" s="15">
        <f t="shared" si="22"/>
        <v>0.1125</v>
      </c>
      <c r="I56" s="15">
        <f t="shared" si="22"/>
        <v>0.33750000000000002</v>
      </c>
      <c r="J56" s="15">
        <f t="shared" si="22"/>
        <v>0.33750000000000002</v>
      </c>
      <c r="K56" s="15">
        <f t="shared" si="22"/>
        <v>0</v>
      </c>
      <c r="L56" s="15">
        <f t="shared" si="22"/>
        <v>0.1125</v>
      </c>
      <c r="M56" s="15">
        <f t="shared" si="22"/>
        <v>0.67500000000000004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 x14ac:dyDescent="0.35">
      <c r="A57" s="14">
        <v>2</v>
      </c>
      <c r="B57" s="15">
        <f t="shared" ref="B57:M57" si="23">B42*$B49</f>
        <v>2.9166666666666664E-2</v>
      </c>
      <c r="C57" s="15">
        <f t="shared" si="23"/>
        <v>0.11666666666666665</v>
      </c>
      <c r="D57" s="15">
        <f t="shared" si="23"/>
        <v>0.14583333333333334</v>
      </c>
      <c r="E57" s="15">
        <f t="shared" si="23"/>
        <v>0</v>
      </c>
      <c r="F57" s="15">
        <f t="shared" si="23"/>
        <v>4.3749999999999997E-2</v>
      </c>
      <c r="G57" s="15">
        <f t="shared" si="23"/>
        <v>8.7499999999999994E-2</v>
      </c>
      <c r="H57" s="15">
        <f t="shared" si="23"/>
        <v>0.11666666666666665</v>
      </c>
      <c r="I57" s="15">
        <f t="shared" si="23"/>
        <v>0.14583333333333334</v>
      </c>
      <c r="J57" s="15">
        <f t="shared" si="23"/>
        <v>0.14583333333333334</v>
      </c>
      <c r="K57" s="15">
        <f t="shared" si="23"/>
        <v>0.17499999999999999</v>
      </c>
      <c r="L57" s="15">
        <f t="shared" si="23"/>
        <v>0.17499999999999999</v>
      </c>
      <c r="M57" s="15">
        <f t="shared" si="23"/>
        <v>0.20416666666666666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 x14ac:dyDescent="0.35">
      <c r="A58" s="14">
        <v>3</v>
      </c>
      <c r="B58" s="15">
        <f t="shared" ref="B58:M58" si="24">B43*$B50</f>
        <v>0</v>
      </c>
      <c r="C58" s="15">
        <f t="shared" si="24"/>
        <v>0.06</v>
      </c>
      <c r="D58" s="15">
        <f t="shared" si="24"/>
        <v>0.18</v>
      </c>
      <c r="E58" s="15">
        <f t="shared" si="24"/>
        <v>0.24</v>
      </c>
      <c r="F58" s="15">
        <f t="shared" si="24"/>
        <v>0.27</v>
      </c>
      <c r="G58" s="15">
        <f t="shared" si="24"/>
        <v>0.36</v>
      </c>
      <c r="H58" s="15">
        <f t="shared" si="24"/>
        <v>0.3</v>
      </c>
      <c r="I58" s="15">
        <f t="shared" si="24"/>
        <v>0.36</v>
      </c>
      <c r="J58" s="15">
        <f t="shared" si="24"/>
        <v>0.42</v>
      </c>
      <c r="K58" s="15">
        <f t="shared" si="24"/>
        <v>0.3</v>
      </c>
      <c r="L58" s="15">
        <f t="shared" si="24"/>
        <v>0.24</v>
      </c>
      <c r="M58" s="15">
        <f t="shared" si="24"/>
        <v>0.48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 x14ac:dyDescent="0.35">
      <c r="A59" s="14">
        <v>4</v>
      </c>
      <c r="B59" s="17">
        <f t="shared" ref="B59:M59" si="25">B44*$B51</f>
        <v>0</v>
      </c>
      <c r="C59" s="17">
        <f t="shared" si="25"/>
        <v>0.10625</v>
      </c>
      <c r="D59" s="17">
        <f t="shared" si="25"/>
        <v>0.21249999999999999</v>
      </c>
      <c r="E59" s="17">
        <f t="shared" si="25"/>
        <v>0.28333333333333333</v>
      </c>
      <c r="F59" s="17">
        <f t="shared" si="25"/>
        <v>0.49583333333333335</v>
      </c>
      <c r="G59" s="17">
        <f t="shared" si="25"/>
        <v>0.42499999999999999</v>
      </c>
      <c r="H59" s="17">
        <f t="shared" si="25"/>
        <v>0.42499999999999999</v>
      </c>
      <c r="I59" s="17">
        <f t="shared" si="25"/>
        <v>0.46041666666666664</v>
      </c>
      <c r="J59" s="17">
        <f t="shared" si="25"/>
        <v>0.49583333333333335</v>
      </c>
      <c r="K59" s="17">
        <f t="shared" si="25"/>
        <v>0.35416666666666669</v>
      </c>
      <c r="L59" s="17">
        <f t="shared" si="25"/>
        <v>0.28333333333333333</v>
      </c>
      <c r="M59" s="17">
        <f t="shared" si="25"/>
        <v>0.35416666666666669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 x14ac:dyDescent="0.35">
      <c r="A60" s="18"/>
      <c r="B60" s="19">
        <f t="shared" ref="B60:M60" si="26">SUM(B56:B59)</f>
        <v>2.9166666666666664E-2</v>
      </c>
      <c r="C60" s="19">
        <f t="shared" si="26"/>
        <v>0.50791666666666668</v>
      </c>
      <c r="D60" s="19">
        <f t="shared" si="26"/>
        <v>1.1008333333333333</v>
      </c>
      <c r="E60" s="19">
        <f t="shared" si="26"/>
        <v>0.74833333333333329</v>
      </c>
      <c r="F60" s="19">
        <f t="shared" si="26"/>
        <v>1.0345833333333334</v>
      </c>
      <c r="G60" s="19">
        <f t="shared" si="26"/>
        <v>1.21</v>
      </c>
      <c r="H60" s="19">
        <f t="shared" si="26"/>
        <v>0.95416666666666661</v>
      </c>
      <c r="I60" s="19">
        <f t="shared" si="26"/>
        <v>1.30375</v>
      </c>
      <c r="J60" s="19">
        <f t="shared" si="26"/>
        <v>1.3991666666666667</v>
      </c>
      <c r="K60" s="19">
        <f t="shared" si="26"/>
        <v>0.82916666666666661</v>
      </c>
      <c r="L60" s="19">
        <f t="shared" si="26"/>
        <v>0.81083333333333329</v>
      </c>
      <c r="M60" s="19">
        <f t="shared" si="26"/>
        <v>1.7133333333333334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 x14ac:dyDescent="0.35">
      <c r="A61" s="18"/>
      <c r="B61" s="19">
        <f>SUM(B60:D60)</f>
        <v>1.6379166666666667</v>
      </c>
      <c r="C61" s="20"/>
      <c r="D61" s="20"/>
      <c r="E61" s="19">
        <f>SUM(E60:G60)</f>
        <v>2.9929166666666669</v>
      </c>
      <c r="F61" s="20"/>
      <c r="G61" s="20"/>
      <c r="H61" s="19">
        <f>SUM(H60:J60)</f>
        <v>3.6570833333333335</v>
      </c>
      <c r="I61" s="20"/>
      <c r="J61" s="20"/>
      <c r="K61" s="19">
        <f>SUM(K60:M60)</f>
        <v>3.3533333333333335</v>
      </c>
      <c r="L61" s="20"/>
      <c r="M61" s="2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6.5" customHeight="1" x14ac:dyDescent="0.3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 x14ac:dyDescent="0.35">
      <c r="A63" s="22" t="s">
        <v>8</v>
      </c>
      <c r="B63" s="35">
        <f>RANK(B61,$B61:$M61)</f>
        <v>4</v>
      </c>
      <c r="C63" s="36"/>
      <c r="D63" s="37"/>
      <c r="E63" s="35">
        <f>RANK(E61,$B61:$M61)</f>
        <v>3</v>
      </c>
      <c r="F63" s="36"/>
      <c r="G63" s="37"/>
      <c r="H63" s="35">
        <f>RANK(H61,$B61:$M61)</f>
        <v>1</v>
      </c>
      <c r="I63" s="36"/>
      <c r="J63" s="37"/>
      <c r="K63" s="35">
        <f>RANK(K61,$B61:$M61)</f>
        <v>2</v>
      </c>
      <c r="L63" s="36"/>
      <c r="M63" s="37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 x14ac:dyDescent="0.35">
      <c r="A64" s="4"/>
      <c r="N64" s="4"/>
      <c r="O64" s="4"/>
      <c r="P64" s="4"/>
      <c r="Q64" s="4"/>
      <c r="R64" s="4"/>
      <c r="S64" s="4"/>
      <c r="T64" s="5"/>
      <c r="U64" s="5"/>
      <c r="V64" s="5"/>
      <c r="W64" s="5"/>
      <c r="X64" s="5"/>
      <c r="Y64" s="5"/>
    </row>
    <row r="65" spans="1:25" ht="15.7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 x14ac:dyDescent="0.35">
      <c r="A66" s="38" t="s">
        <v>9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2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 x14ac:dyDescent="0.35">
      <c r="A67" s="33" t="s">
        <v>0</v>
      </c>
      <c r="B67" s="30" t="s">
        <v>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8" t="s">
        <v>10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 x14ac:dyDescent="0.35">
      <c r="A68" s="34"/>
      <c r="B68" s="35" t="s">
        <v>36</v>
      </c>
      <c r="C68" s="36"/>
      <c r="D68" s="37"/>
      <c r="E68" s="35" t="s">
        <v>35</v>
      </c>
      <c r="F68" s="36"/>
      <c r="G68" s="37"/>
      <c r="H68" s="35" t="s">
        <v>33</v>
      </c>
      <c r="I68" s="36"/>
      <c r="J68" s="37"/>
      <c r="K68" s="35" t="s">
        <v>34</v>
      </c>
      <c r="L68" s="36"/>
      <c r="M68" s="37"/>
      <c r="N68" s="4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 x14ac:dyDescent="0.35">
      <c r="A69" s="14">
        <v>1</v>
      </c>
      <c r="B69" s="24">
        <f>B24*B24</f>
        <v>4</v>
      </c>
      <c r="C69" s="24">
        <f t="shared" ref="C69:M69" si="27">C24*C24</f>
        <v>16</v>
      </c>
      <c r="D69" s="24">
        <f t="shared" si="27"/>
        <v>49</v>
      </c>
      <c r="E69" s="24">
        <f t="shared" si="27"/>
        <v>16</v>
      </c>
      <c r="F69" s="24">
        <f t="shared" si="27"/>
        <v>16</v>
      </c>
      <c r="G69" s="24">
        <f t="shared" si="27"/>
        <v>25</v>
      </c>
      <c r="H69" s="24">
        <f t="shared" si="27"/>
        <v>9</v>
      </c>
      <c r="I69" s="24">
        <f t="shared" si="27"/>
        <v>25</v>
      </c>
      <c r="J69" s="24">
        <f t="shared" si="27"/>
        <v>25</v>
      </c>
      <c r="K69" s="24">
        <f t="shared" si="27"/>
        <v>4</v>
      </c>
      <c r="L69" s="24">
        <f t="shared" si="27"/>
        <v>9</v>
      </c>
      <c r="M69" s="24">
        <f t="shared" si="27"/>
        <v>64</v>
      </c>
      <c r="N69" s="25">
        <f>SQRT(SUM(B69:M69))</f>
        <v>16.186414056238647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25.75" customHeight="1" x14ac:dyDescent="0.35">
      <c r="A70" s="14">
        <v>2</v>
      </c>
      <c r="B70" s="24">
        <f t="shared" ref="B70:M70" si="28">B25*B25</f>
        <v>9</v>
      </c>
      <c r="C70" s="24">
        <f t="shared" si="28"/>
        <v>36</v>
      </c>
      <c r="D70" s="24">
        <f t="shared" si="28"/>
        <v>49</v>
      </c>
      <c r="E70" s="24">
        <f t="shared" si="28"/>
        <v>4</v>
      </c>
      <c r="F70" s="24">
        <f t="shared" si="28"/>
        <v>12.25</v>
      </c>
      <c r="G70" s="24">
        <f t="shared" si="28"/>
        <v>25</v>
      </c>
      <c r="H70" s="24">
        <f t="shared" si="28"/>
        <v>36</v>
      </c>
      <c r="I70" s="24">
        <f t="shared" si="28"/>
        <v>49</v>
      </c>
      <c r="J70" s="24">
        <f t="shared" si="28"/>
        <v>49</v>
      </c>
      <c r="K70" s="24">
        <f t="shared" si="28"/>
        <v>64</v>
      </c>
      <c r="L70" s="24">
        <f t="shared" si="28"/>
        <v>64</v>
      </c>
      <c r="M70" s="24">
        <f t="shared" si="28"/>
        <v>81</v>
      </c>
      <c r="N70" s="25">
        <f>SQRT(SUM(B70:M70))</f>
        <v>21.868927728629039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 x14ac:dyDescent="0.35">
      <c r="A71" s="14">
        <v>3</v>
      </c>
      <c r="B71" s="24">
        <f t="shared" ref="B71:M71" si="29">B26*B26</f>
        <v>1</v>
      </c>
      <c r="C71" s="24">
        <f t="shared" si="29"/>
        <v>4</v>
      </c>
      <c r="D71" s="24">
        <f t="shared" si="29"/>
        <v>16</v>
      </c>
      <c r="E71" s="24">
        <f t="shared" si="29"/>
        <v>25</v>
      </c>
      <c r="F71" s="24">
        <f t="shared" si="29"/>
        <v>30.25</v>
      </c>
      <c r="G71" s="24">
        <f t="shared" si="29"/>
        <v>49</v>
      </c>
      <c r="H71" s="24">
        <f t="shared" si="29"/>
        <v>36</v>
      </c>
      <c r="I71" s="24">
        <f t="shared" si="29"/>
        <v>49</v>
      </c>
      <c r="J71" s="24">
        <f t="shared" si="29"/>
        <v>64</v>
      </c>
      <c r="K71" s="24">
        <f t="shared" si="29"/>
        <v>36</v>
      </c>
      <c r="L71" s="24">
        <f t="shared" si="29"/>
        <v>25</v>
      </c>
      <c r="M71" s="24">
        <f t="shared" si="29"/>
        <v>81</v>
      </c>
      <c r="N71" s="25">
        <f>SQRT(SUM(B71:M71))</f>
        <v>20.402205763103165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 x14ac:dyDescent="0.35">
      <c r="A72" s="14">
        <v>4</v>
      </c>
      <c r="B72" s="24">
        <f t="shared" ref="B72:M72" si="30">B27*B27</f>
        <v>1</v>
      </c>
      <c r="C72" s="24">
        <f t="shared" si="30"/>
        <v>6.25</v>
      </c>
      <c r="D72" s="24">
        <f t="shared" si="30"/>
        <v>16</v>
      </c>
      <c r="E72" s="24">
        <f t="shared" si="30"/>
        <v>25</v>
      </c>
      <c r="F72" s="24">
        <f t="shared" si="30"/>
        <v>64</v>
      </c>
      <c r="G72" s="24">
        <f t="shared" si="30"/>
        <v>49</v>
      </c>
      <c r="H72" s="24">
        <f t="shared" si="30"/>
        <v>49</v>
      </c>
      <c r="I72" s="24">
        <f t="shared" si="30"/>
        <v>56.25</v>
      </c>
      <c r="J72" s="24">
        <f t="shared" si="30"/>
        <v>64</v>
      </c>
      <c r="K72" s="24">
        <f t="shared" si="30"/>
        <v>36</v>
      </c>
      <c r="L72" s="24">
        <f t="shared" si="30"/>
        <v>25</v>
      </c>
      <c r="M72" s="24">
        <f t="shared" si="30"/>
        <v>36</v>
      </c>
      <c r="N72" s="25">
        <f>SQRT(SUM(B72:M72))</f>
        <v>20.676073128135332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 x14ac:dyDescent="0.35">
      <c r="A74" s="38" t="s">
        <v>11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 x14ac:dyDescent="0.35">
      <c r="A75" s="33" t="s">
        <v>0</v>
      </c>
      <c r="B75" s="30" t="s">
        <v>1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 x14ac:dyDescent="0.35">
      <c r="A76" s="34"/>
      <c r="B76" s="35" t="s">
        <v>36</v>
      </c>
      <c r="C76" s="36"/>
      <c r="D76" s="37"/>
      <c r="E76" s="35" t="s">
        <v>35</v>
      </c>
      <c r="F76" s="36"/>
      <c r="G76" s="37"/>
      <c r="H76" s="35" t="s">
        <v>33</v>
      </c>
      <c r="I76" s="36"/>
      <c r="J76" s="37"/>
      <c r="K76" s="35" t="s">
        <v>34</v>
      </c>
      <c r="L76" s="36"/>
      <c r="M76" s="3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 x14ac:dyDescent="0.35">
      <c r="A77" s="14">
        <v>1</v>
      </c>
      <c r="B77" s="15">
        <f>B24/$N69</f>
        <v>0.12356041264304309</v>
      </c>
      <c r="C77" s="15">
        <f t="shared" ref="C77:M77" si="31">C24/$N69</f>
        <v>0.24712082528608617</v>
      </c>
      <c r="D77" s="15">
        <f t="shared" si="31"/>
        <v>0.43246144425065081</v>
      </c>
      <c r="E77" s="15">
        <f t="shared" si="31"/>
        <v>0.24712082528608617</v>
      </c>
      <c r="F77" s="15">
        <f t="shared" si="31"/>
        <v>0.24712082528608617</v>
      </c>
      <c r="G77" s="15">
        <f t="shared" si="31"/>
        <v>0.30890103160760773</v>
      </c>
      <c r="H77" s="15">
        <f t="shared" si="31"/>
        <v>0.18534061896456464</v>
      </c>
      <c r="I77" s="15">
        <f t="shared" si="31"/>
        <v>0.30890103160760773</v>
      </c>
      <c r="J77" s="15">
        <f t="shared" si="31"/>
        <v>0.30890103160760773</v>
      </c>
      <c r="K77" s="15">
        <f t="shared" si="31"/>
        <v>0.12356041264304309</v>
      </c>
      <c r="L77" s="15">
        <f t="shared" si="31"/>
        <v>0.18534061896456464</v>
      </c>
      <c r="M77" s="15">
        <f t="shared" si="31"/>
        <v>0.49424165057217234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 x14ac:dyDescent="0.35">
      <c r="A78" s="14">
        <v>2</v>
      </c>
      <c r="B78" s="15">
        <f t="shared" ref="B78:M78" si="32">B25/$N70</f>
        <v>0.13718093713724436</v>
      </c>
      <c r="C78" s="15">
        <f t="shared" si="32"/>
        <v>0.27436187427448872</v>
      </c>
      <c r="D78" s="15">
        <f t="shared" si="32"/>
        <v>0.32008885332023679</v>
      </c>
      <c r="E78" s="15">
        <f t="shared" si="32"/>
        <v>9.1453958091496229E-2</v>
      </c>
      <c r="F78" s="15">
        <f t="shared" si="32"/>
        <v>0.16004442666011839</v>
      </c>
      <c r="G78" s="15">
        <f t="shared" si="32"/>
        <v>0.22863489522874059</v>
      </c>
      <c r="H78" s="15">
        <f t="shared" si="32"/>
        <v>0.27436187427448872</v>
      </c>
      <c r="I78" s="15">
        <f t="shared" si="32"/>
        <v>0.32008885332023679</v>
      </c>
      <c r="J78" s="15">
        <f t="shared" si="32"/>
        <v>0.32008885332023679</v>
      </c>
      <c r="K78" s="15">
        <f t="shared" si="32"/>
        <v>0.36581583236598492</v>
      </c>
      <c r="L78" s="15">
        <f t="shared" si="32"/>
        <v>0.36581583236598492</v>
      </c>
      <c r="M78" s="15">
        <f t="shared" si="32"/>
        <v>0.41154281141173304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 x14ac:dyDescent="0.35">
      <c r="A79" s="14">
        <v>3</v>
      </c>
      <c r="B79" s="15">
        <f t="shared" ref="B79:M79" si="33">B26/$N71</f>
        <v>4.9014308139587182E-2</v>
      </c>
      <c r="C79" s="15">
        <f t="shared" si="33"/>
        <v>9.8028616279174363E-2</v>
      </c>
      <c r="D79" s="15">
        <f t="shared" si="33"/>
        <v>0.19605723255834873</v>
      </c>
      <c r="E79" s="15">
        <f t="shared" si="33"/>
        <v>0.24507154069793591</v>
      </c>
      <c r="F79" s="15">
        <f t="shared" si="33"/>
        <v>0.2695786947677295</v>
      </c>
      <c r="G79" s="15">
        <f t="shared" si="33"/>
        <v>0.34310015697711027</v>
      </c>
      <c r="H79" s="15">
        <f t="shared" si="33"/>
        <v>0.29408584883752309</v>
      </c>
      <c r="I79" s="15">
        <f t="shared" si="33"/>
        <v>0.34310015697711027</v>
      </c>
      <c r="J79" s="15">
        <f t="shared" si="33"/>
        <v>0.39211446511669745</v>
      </c>
      <c r="K79" s="15">
        <f t="shared" si="33"/>
        <v>0.29408584883752309</v>
      </c>
      <c r="L79" s="15">
        <f t="shared" si="33"/>
        <v>0.24507154069793591</v>
      </c>
      <c r="M79" s="15">
        <f t="shared" si="33"/>
        <v>0.44112877325628463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6.4" customHeight="1" x14ac:dyDescent="0.35">
      <c r="A80" s="14">
        <v>4</v>
      </c>
      <c r="B80" s="15">
        <f t="shared" ref="B80:M80" si="34">B27/$N72</f>
        <v>4.8365083340667449E-2</v>
      </c>
      <c r="C80" s="15">
        <f t="shared" si="34"/>
        <v>0.12091270835166862</v>
      </c>
      <c r="D80" s="15">
        <f t="shared" si="34"/>
        <v>0.1934603333626698</v>
      </c>
      <c r="E80" s="15">
        <f t="shared" si="34"/>
        <v>0.24182541670333724</v>
      </c>
      <c r="F80" s="15">
        <f t="shared" si="34"/>
        <v>0.38692066672533959</v>
      </c>
      <c r="G80" s="15">
        <f t="shared" si="34"/>
        <v>0.33855558338467212</v>
      </c>
      <c r="H80" s="15">
        <f t="shared" si="34"/>
        <v>0.33855558338467212</v>
      </c>
      <c r="I80" s="15">
        <f t="shared" si="34"/>
        <v>0.36273812505500586</v>
      </c>
      <c r="J80" s="15">
        <f t="shared" si="34"/>
        <v>0.38692066672533959</v>
      </c>
      <c r="K80" s="15">
        <f t="shared" si="34"/>
        <v>0.29019050004400465</v>
      </c>
      <c r="L80" s="15">
        <f t="shared" si="34"/>
        <v>0.24182541670333724</v>
      </c>
      <c r="M80" s="15">
        <f t="shared" si="34"/>
        <v>0.29019050004400465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6" ht="15.75" customHeight="1" x14ac:dyDescent="0.35">
      <c r="A82" s="38" t="s">
        <v>7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6" ht="15.75" customHeight="1" x14ac:dyDescent="0.35">
      <c r="A83" s="33" t="s">
        <v>0</v>
      </c>
      <c r="B83" s="30" t="s">
        <v>1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2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6" ht="15.75" customHeight="1" x14ac:dyDescent="0.35">
      <c r="A84" s="34"/>
      <c r="B84" s="35" t="s">
        <v>36</v>
      </c>
      <c r="C84" s="36"/>
      <c r="D84" s="37"/>
      <c r="E84" s="35" t="s">
        <v>35</v>
      </c>
      <c r="F84" s="36"/>
      <c r="G84" s="37"/>
      <c r="H84" s="35" t="s">
        <v>33</v>
      </c>
      <c r="I84" s="36"/>
      <c r="J84" s="37"/>
      <c r="K84" s="35" t="s">
        <v>34</v>
      </c>
      <c r="L84" s="36"/>
      <c r="M84" s="37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6" ht="15.75" customHeight="1" x14ac:dyDescent="0.35">
      <c r="A85" s="14">
        <v>1</v>
      </c>
      <c r="B85" s="15">
        <f t="shared" ref="B85:M85" si="35">B77*$B48</f>
        <v>2.7801092844684693E-2</v>
      </c>
      <c r="C85" s="15">
        <f t="shared" si="35"/>
        <v>5.5602185689369386E-2</v>
      </c>
      <c r="D85" s="15">
        <f t="shared" si="35"/>
        <v>9.7303824956396431E-2</v>
      </c>
      <c r="E85" s="15">
        <f t="shared" si="35"/>
        <v>5.5602185689369386E-2</v>
      </c>
      <c r="F85" s="15">
        <f t="shared" si="35"/>
        <v>5.5602185689369386E-2</v>
      </c>
      <c r="G85" s="15">
        <f t="shared" si="35"/>
        <v>6.9502732111711749E-2</v>
      </c>
      <c r="H85" s="15">
        <f t="shared" si="35"/>
        <v>4.1701639267027045E-2</v>
      </c>
      <c r="I85" s="15">
        <f t="shared" si="35"/>
        <v>6.9502732111711749E-2</v>
      </c>
      <c r="J85" s="15">
        <f t="shared" si="35"/>
        <v>6.9502732111711749E-2</v>
      </c>
      <c r="K85" s="15">
        <f t="shared" si="35"/>
        <v>2.7801092844684693E-2</v>
      </c>
      <c r="L85" s="15">
        <f t="shared" si="35"/>
        <v>4.1701639267027045E-2</v>
      </c>
      <c r="M85" s="15">
        <f t="shared" si="35"/>
        <v>0.11120437137873877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6" ht="15.75" customHeight="1" x14ac:dyDescent="0.35">
      <c r="A86" s="14">
        <v>2</v>
      </c>
      <c r="B86" s="15">
        <f t="shared" ref="B86:M86" si="36">B78*$B49</f>
        <v>2.4006663999017762E-2</v>
      </c>
      <c r="C86" s="15">
        <f t="shared" si="36"/>
        <v>4.8013327998035524E-2</v>
      </c>
      <c r="D86" s="15">
        <f t="shared" si="36"/>
        <v>5.6015549331041435E-2</v>
      </c>
      <c r="E86" s="15">
        <f t="shared" si="36"/>
        <v>1.600444266601184E-2</v>
      </c>
      <c r="F86" s="15">
        <f t="shared" si="36"/>
        <v>2.8007774665520718E-2</v>
      </c>
      <c r="G86" s="15">
        <f t="shared" si="36"/>
        <v>4.0011106665029599E-2</v>
      </c>
      <c r="H86" s="15">
        <f t="shared" si="36"/>
        <v>4.8013327998035524E-2</v>
      </c>
      <c r="I86" s="15">
        <f t="shared" si="36"/>
        <v>5.6015549331041435E-2</v>
      </c>
      <c r="J86" s="15">
        <f t="shared" si="36"/>
        <v>5.6015549331041435E-2</v>
      </c>
      <c r="K86" s="15">
        <f t="shared" si="36"/>
        <v>6.401777066404736E-2</v>
      </c>
      <c r="L86" s="15">
        <f t="shared" si="36"/>
        <v>6.401777066404736E-2</v>
      </c>
      <c r="M86" s="15">
        <f t="shared" si="36"/>
        <v>7.2019991997053279E-2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6" ht="15.75" customHeight="1" x14ac:dyDescent="0.35">
      <c r="A87" s="14">
        <v>3</v>
      </c>
      <c r="B87" s="15">
        <f t="shared" ref="B87:M87" si="37">B79*$B50</f>
        <v>1.4704292441876154E-2</v>
      </c>
      <c r="C87" s="15">
        <f t="shared" si="37"/>
        <v>2.9408584883752309E-2</v>
      </c>
      <c r="D87" s="15">
        <f t="shared" si="37"/>
        <v>5.8817169767504618E-2</v>
      </c>
      <c r="E87" s="15">
        <f t="shared" si="37"/>
        <v>7.3521462209380772E-2</v>
      </c>
      <c r="F87" s="15">
        <f t="shared" si="37"/>
        <v>8.087360843031885E-2</v>
      </c>
      <c r="G87" s="15">
        <f t="shared" si="37"/>
        <v>0.10293004709313308</v>
      </c>
      <c r="H87" s="15">
        <f t="shared" si="37"/>
        <v>8.8225754651256927E-2</v>
      </c>
      <c r="I87" s="15">
        <f t="shared" si="37"/>
        <v>0.10293004709313308</v>
      </c>
      <c r="J87" s="15">
        <f t="shared" si="37"/>
        <v>0.11763433953500924</v>
      </c>
      <c r="K87" s="15">
        <f t="shared" si="37"/>
        <v>8.8225754651256927E-2</v>
      </c>
      <c r="L87" s="15">
        <f t="shared" si="37"/>
        <v>7.3521462209380772E-2</v>
      </c>
      <c r="M87" s="15">
        <f t="shared" si="37"/>
        <v>0.13233863197688539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6" ht="15.75" customHeight="1" x14ac:dyDescent="0.35">
      <c r="A88" s="14">
        <v>4</v>
      </c>
      <c r="B88" s="15">
        <f t="shared" ref="B88:M88" si="38">B80*$B51</f>
        <v>2.0555160419783666E-2</v>
      </c>
      <c r="C88" s="15">
        <f t="shared" si="38"/>
        <v>5.1387901049459159E-2</v>
      </c>
      <c r="D88" s="15">
        <f t="shared" si="38"/>
        <v>8.2220641679134662E-2</v>
      </c>
      <c r="E88" s="15">
        <f t="shared" si="38"/>
        <v>0.10277580209891832</v>
      </c>
      <c r="F88" s="15">
        <f t="shared" si="38"/>
        <v>0.16444128335826932</v>
      </c>
      <c r="G88" s="15">
        <f t="shared" si="38"/>
        <v>0.14388612293848566</v>
      </c>
      <c r="H88" s="15">
        <f t="shared" si="38"/>
        <v>0.14388612293848566</v>
      </c>
      <c r="I88" s="15">
        <f t="shared" si="38"/>
        <v>0.15416370314837749</v>
      </c>
      <c r="J88" s="15">
        <f t="shared" si="38"/>
        <v>0.16444128335826932</v>
      </c>
      <c r="K88" s="15">
        <f t="shared" si="38"/>
        <v>0.12333096251870197</v>
      </c>
      <c r="L88" s="15">
        <f t="shared" si="38"/>
        <v>0.10277580209891832</v>
      </c>
      <c r="M88" s="15">
        <f t="shared" si="38"/>
        <v>0.12333096251870197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6" ht="26.4" customHeight="1" x14ac:dyDescent="0.35">
      <c r="A90" s="38" t="s">
        <v>12</v>
      </c>
      <c r="B90" s="39"/>
      <c r="C90" s="39"/>
      <c r="D90" s="39"/>
      <c r="E90" s="39"/>
      <c r="F90" s="39"/>
      <c r="G90" s="3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6" ht="15.75" customHeight="1" x14ac:dyDescent="0.35">
      <c r="A91" s="33" t="s">
        <v>0</v>
      </c>
      <c r="B91" s="30" t="s">
        <v>12</v>
      </c>
      <c r="C91" s="31"/>
      <c r="D91" s="31"/>
      <c r="E91" s="31"/>
      <c r="F91" s="31"/>
      <c r="G91" s="3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6" ht="15.75" customHeight="1" x14ac:dyDescent="0.35">
      <c r="A92" s="34"/>
      <c r="B92" s="35" t="s">
        <v>13</v>
      </c>
      <c r="C92" s="36"/>
      <c r="D92" s="37"/>
      <c r="E92" s="35" t="s">
        <v>14</v>
      </c>
      <c r="F92" s="36"/>
      <c r="G92" s="3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6" ht="15.75" customHeight="1" x14ac:dyDescent="0.35">
      <c r="A93" s="14">
        <v>1</v>
      </c>
      <c r="B93" s="15">
        <f t="shared" ref="B93:D96" si="39">MAX(B85,E85,H85,K85)</f>
        <v>5.5602185689369386E-2</v>
      </c>
      <c r="C93" s="15">
        <f t="shared" si="39"/>
        <v>6.9502732111711749E-2</v>
      </c>
      <c r="D93" s="15">
        <f t="shared" si="39"/>
        <v>0.11120437137873877</v>
      </c>
      <c r="E93" s="26">
        <f t="shared" ref="E93:G96" si="40">MIN(B85,E85,H85,K85)</f>
        <v>2.7801092844684693E-2</v>
      </c>
      <c r="F93" s="26">
        <f t="shared" si="40"/>
        <v>4.1701639267027045E-2</v>
      </c>
      <c r="G93" s="26">
        <f t="shared" si="40"/>
        <v>6.9502732111711749E-2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6" ht="30.75" customHeight="1" x14ac:dyDescent="0.35">
      <c r="A94" s="14">
        <v>2</v>
      </c>
      <c r="B94" s="15">
        <f t="shared" si="39"/>
        <v>6.401777066404736E-2</v>
      </c>
      <c r="C94" s="15">
        <f t="shared" si="39"/>
        <v>6.401777066404736E-2</v>
      </c>
      <c r="D94" s="15">
        <f t="shared" si="39"/>
        <v>7.2019991997053279E-2</v>
      </c>
      <c r="E94" s="26">
        <f t="shared" si="40"/>
        <v>1.600444266601184E-2</v>
      </c>
      <c r="F94" s="26">
        <f t="shared" si="40"/>
        <v>2.8007774665520718E-2</v>
      </c>
      <c r="G94" s="26">
        <f t="shared" si="40"/>
        <v>4.0011106665029599E-2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6" ht="15.75" customHeight="1" x14ac:dyDescent="0.35">
      <c r="A95" s="14">
        <v>3</v>
      </c>
      <c r="B95" s="15">
        <f t="shared" si="39"/>
        <v>8.8225754651256927E-2</v>
      </c>
      <c r="C95" s="15">
        <f t="shared" si="39"/>
        <v>0.10293004709313308</v>
      </c>
      <c r="D95" s="15">
        <f t="shared" si="39"/>
        <v>0.13233863197688539</v>
      </c>
      <c r="E95" s="26">
        <f t="shared" si="40"/>
        <v>1.4704292441876154E-2</v>
      </c>
      <c r="F95" s="26">
        <f t="shared" si="40"/>
        <v>2.9408584883752309E-2</v>
      </c>
      <c r="G95" s="26">
        <f t="shared" si="40"/>
        <v>5.8817169767504618E-2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5">
      <c r="A96" s="14">
        <v>4</v>
      </c>
      <c r="B96" s="15">
        <f t="shared" si="39"/>
        <v>0.14388612293848566</v>
      </c>
      <c r="C96" s="15">
        <f t="shared" si="39"/>
        <v>0.16444128335826932</v>
      </c>
      <c r="D96" s="15">
        <f t="shared" si="39"/>
        <v>0.16444128335826932</v>
      </c>
      <c r="E96" s="26">
        <f t="shared" si="40"/>
        <v>2.0555160419783666E-2</v>
      </c>
      <c r="F96" s="26">
        <f t="shared" si="40"/>
        <v>5.1387901049459159E-2</v>
      </c>
      <c r="G96" s="26">
        <f t="shared" si="40"/>
        <v>8.2220641679134662E-2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5">
      <c r="A98" s="38" t="s">
        <v>15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5"/>
    </row>
    <row r="99" spans="1:26" ht="15.75" customHeight="1" x14ac:dyDescent="0.35">
      <c r="A99" s="33" t="s">
        <v>0</v>
      </c>
      <c r="B99" s="30" t="s">
        <v>1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2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5"/>
    </row>
    <row r="100" spans="1:26" ht="15.75" customHeight="1" x14ac:dyDescent="0.35">
      <c r="A100" s="34"/>
      <c r="B100" s="35" t="s">
        <v>36</v>
      </c>
      <c r="C100" s="36"/>
      <c r="D100" s="37"/>
      <c r="E100" s="35" t="s">
        <v>35</v>
      </c>
      <c r="F100" s="36"/>
      <c r="G100" s="37"/>
      <c r="H100" s="35" t="s">
        <v>33</v>
      </c>
      <c r="I100" s="36"/>
      <c r="J100" s="37"/>
      <c r="K100" s="35" t="s">
        <v>34</v>
      </c>
      <c r="L100" s="36"/>
      <c r="M100" s="37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5"/>
    </row>
    <row r="101" spans="1:26" ht="15.75" customHeight="1" x14ac:dyDescent="0.35">
      <c r="A101" s="14">
        <v>1</v>
      </c>
      <c r="B101" s="15">
        <f>$B93-B85</f>
        <v>2.7801092844684693E-2</v>
      </c>
      <c r="C101" s="15">
        <f>$C93-C85</f>
        <v>1.3900546422342362E-2</v>
      </c>
      <c r="D101" s="15">
        <f>$D93-D85</f>
        <v>1.3900546422342341E-2</v>
      </c>
      <c r="E101" s="15">
        <f>$B93-E85</f>
        <v>0</v>
      </c>
      <c r="F101" s="15">
        <f>$C93-F85</f>
        <v>1.3900546422342362E-2</v>
      </c>
      <c r="G101" s="15">
        <f>$D93-G85</f>
        <v>4.1701639267027024E-2</v>
      </c>
      <c r="H101" s="15">
        <f>$B93-H85</f>
        <v>1.3900546422342341E-2</v>
      </c>
      <c r="I101" s="15">
        <f>$C93-I85</f>
        <v>0</v>
      </c>
      <c r="J101" s="15">
        <f>$D93-J85</f>
        <v>4.1701639267027024E-2</v>
      </c>
      <c r="K101" s="15">
        <f>$B93-K85</f>
        <v>2.7801092844684693E-2</v>
      </c>
      <c r="L101" s="15">
        <f>$C93-L85</f>
        <v>2.7801092844684704E-2</v>
      </c>
      <c r="M101" s="15">
        <f>$D93-M85</f>
        <v>0</v>
      </c>
      <c r="N101" s="27">
        <f t="shared" ref="N101:Y104" si="41">B101*B101</f>
        <v>7.729007633587784E-4</v>
      </c>
      <c r="O101" s="27">
        <f t="shared" si="41"/>
        <v>1.9322519083969503E-4</v>
      </c>
      <c r="P101" s="27">
        <f t="shared" si="41"/>
        <v>1.9322519083969446E-4</v>
      </c>
      <c r="Q101" s="27">
        <f t="shared" si="41"/>
        <v>0</v>
      </c>
      <c r="R101" s="27">
        <f t="shared" si="41"/>
        <v>1.9322519083969503E-4</v>
      </c>
      <c r="S101" s="27">
        <f t="shared" si="41"/>
        <v>1.7390267175572502E-3</v>
      </c>
      <c r="T101" s="27">
        <f t="shared" si="41"/>
        <v>1.9322519083969446E-4</v>
      </c>
      <c r="U101" s="27">
        <f t="shared" si="41"/>
        <v>0</v>
      </c>
      <c r="V101" s="27">
        <f t="shared" si="41"/>
        <v>1.7390267175572502E-3</v>
      </c>
      <c r="W101" s="27">
        <f t="shared" si="41"/>
        <v>7.729007633587784E-4</v>
      </c>
      <c r="X101" s="27">
        <f t="shared" si="41"/>
        <v>7.7290076335877905E-4</v>
      </c>
      <c r="Y101" s="27">
        <f t="shared" si="41"/>
        <v>0</v>
      </c>
      <c r="Z101" s="5"/>
    </row>
    <row r="102" spans="1:26" ht="15.75" customHeight="1" x14ac:dyDescent="0.35">
      <c r="A102" s="14">
        <v>2</v>
      </c>
      <c r="B102" s="15">
        <f>$B94-B86</f>
        <v>4.0011106665029599E-2</v>
      </c>
      <c r="C102" s="15">
        <f>$C94-C86</f>
        <v>1.6004442666011837E-2</v>
      </c>
      <c r="D102" s="15">
        <f>$D94-D86</f>
        <v>1.6004442666011844E-2</v>
      </c>
      <c r="E102" s="15">
        <f>$B94-E86</f>
        <v>4.8013327998035524E-2</v>
      </c>
      <c r="F102" s="15">
        <f>$C94-F86</f>
        <v>3.6009995998526639E-2</v>
      </c>
      <c r="G102" s="15">
        <f>$D94-G86</f>
        <v>3.200888533202368E-2</v>
      </c>
      <c r="H102" s="15">
        <f>$B94-H86</f>
        <v>1.6004442666011837E-2</v>
      </c>
      <c r="I102" s="15">
        <f>$C94-I86</f>
        <v>8.0022213330059253E-3</v>
      </c>
      <c r="J102" s="15">
        <f>$D94-J86</f>
        <v>1.6004442666011844E-2</v>
      </c>
      <c r="K102" s="15">
        <f>$B94-K86</f>
        <v>0</v>
      </c>
      <c r="L102" s="15">
        <f>$C94-L86</f>
        <v>0</v>
      </c>
      <c r="M102" s="15">
        <f>$D94-M86</f>
        <v>0</v>
      </c>
      <c r="N102" s="27">
        <f t="shared" si="41"/>
        <v>1.6008886565603759E-3</v>
      </c>
      <c r="O102" s="27">
        <f t="shared" si="41"/>
        <v>2.5614218504966006E-4</v>
      </c>
      <c r="P102" s="27">
        <f t="shared" si="41"/>
        <v>2.5614218504966028E-4</v>
      </c>
      <c r="Q102" s="27">
        <f t="shared" si="41"/>
        <v>2.3052796654469418E-3</v>
      </c>
      <c r="R102" s="27">
        <f t="shared" si="41"/>
        <v>1.2967198118139045E-3</v>
      </c>
      <c r="S102" s="27">
        <f t="shared" si="41"/>
        <v>1.0245687401986407E-3</v>
      </c>
      <c r="T102" s="27">
        <f t="shared" si="41"/>
        <v>2.5614218504966006E-4</v>
      </c>
      <c r="U102" s="27">
        <f t="shared" si="41"/>
        <v>6.4035546262415123E-5</v>
      </c>
      <c r="V102" s="27">
        <f t="shared" si="41"/>
        <v>2.5614218504966028E-4</v>
      </c>
      <c r="W102" s="27">
        <f t="shared" si="41"/>
        <v>0</v>
      </c>
      <c r="X102" s="27">
        <f t="shared" si="41"/>
        <v>0</v>
      </c>
      <c r="Y102" s="27">
        <f t="shared" si="41"/>
        <v>0</v>
      </c>
      <c r="Z102" s="5"/>
    </row>
    <row r="103" spans="1:26" ht="15.75" customHeight="1" x14ac:dyDescent="0.35">
      <c r="A103" s="14">
        <v>3</v>
      </c>
      <c r="B103" s="15">
        <f>$B95-B87</f>
        <v>7.3521462209380772E-2</v>
      </c>
      <c r="C103" s="15">
        <f>$C95-C87</f>
        <v>7.3521462209380772E-2</v>
      </c>
      <c r="D103" s="15">
        <f>$D95-D87</f>
        <v>7.3521462209380772E-2</v>
      </c>
      <c r="E103" s="15">
        <f>$B95-E87</f>
        <v>1.4704292441876154E-2</v>
      </c>
      <c r="F103" s="15">
        <f>$C95-F87</f>
        <v>2.2056438662814232E-2</v>
      </c>
      <c r="G103" s="15">
        <f>$D95-G87</f>
        <v>2.9408584883752309E-2</v>
      </c>
      <c r="H103" s="15">
        <f>$B95-H87</f>
        <v>0</v>
      </c>
      <c r="I103" s="15">
        <f>$C95-I87</f>
        <v>0</v>
      </c>
      <c r="J103" s="15">
        <f>$D95-J87</f>
        <v>1.4704292441876154E-2</v>
      </c>
      <c r="K103" s="15">
        <f>$B95-K87</f>
        <v>0</v>
      </c>
      <c r="L103" s="15">
        <f>$C95-L87</f>
        <v>2.9408584883752309E-2</v>
      </c>
      <c r="M103" s="15">
        <f>$D95-M87</f>
        <v>0</v>
      </c>
      <c r="N103" s="27">
        <f t="shared" si="41"/>
        <v>5.4054054054054048E-3</v>
      </c>
      <c r="O103" s="27">
        <f t="shared" si="41"/>
        <v>5.4054054054054048E-3</v>
      </c>
      <c r="P103" s="27">
        <f t="shared" si="41"/>
        <v>5.4054054054054048E-3</v>
      </c>
      <c r="Q103" s="27">
        <f t="shared" si="41"/>
        <v>2.1621621621621621E-4</v>
      </c>
      <c r="R103" s="27">
        <f t="shared" si="41"/>
        <v>4.8648648648648646E-4</v>
      </c>
      <c r="S103" s="27">
        <f t="shared" si="41"/>
        <v>8.6486486486486486E-4</v>
      </c>
      <c r="T103" s="27">
        <f t="shared" si="41"/>
        <v>0</v>
      </c>
      <c r="U103" s="27">
        <f t="shared" si="41"/>
        <v>0</v>
      </c>
      <c r="V103" s="27">
        <f t="shared" si="41"/>
        <v>2.1621621621621621E-4</v>
      </c>
      <c r="W103" s="27">
        <f t="shared" si="41"/>
        <v>0</v>
      </c>
      <c r="X103" s="27">
        <f t="shared" si="41"/>
        <v>8.6486486486486486E-4</v>
      </c>
      <c r="Y103" s="27">
        <f t="shared" si="41"/>
        <v>0</v>
      </c>
      <c r="Z103" s="5"/>
    </row>
    <row r="104" spans="1:26" ht="15.75" customHeight="1" x14ac:dyDescent="0.35">
      <c r="A104" s="14">
        <v>4</v>
      </c>
      <c r="B104" s="17">
        <f>$B96-B88</f>
        <v>0.12333096251870199</v>
      </c>
      <c r="C104" s="17">
        <f>$C96-C88</f>
        <v>0.11305338230881017</v>
      </c>
      <c r="D104" s="17">
        <f>$D96-D88</f>
        <v>8.2220641679134662E-2</v>
      </c>
      <c r="E104" s="17">
        <f>$B96-E88</f>
        <v>4.1110320839567338E-2</v>
      </c>
      <c r="F104" s="17">
        <f>$C96-F88</f>
        <v>0</v>
      </c>
      <c r="G104" s="17">
        <f>$D96-G88</f>
        <v>2.0555160419783669E-2</v>
      </c>
      <c r="H104" s="17">
        <f>$B96-H88</f>
        <v>0</v>
      </c>
      <c r="I104" s="17">
        <f>$C96-I88</f>
        <v>1.0277580209891835E-2</v>
      </c>
      <c r="J104" s="17">
        <f>$D96-J88</f>
        <v>0</v>
      </c>
      <c r="K104" s="17">
        <f>$B96-K88</f>
        <v>2.0555160419783683E-2</v>
      </c>
      <c r="L104" s="17">
        <f>$C96-L88</f>
        <v>6.1665481259351007E-2</v>
      </c>
      <c r="M104" s="17">
        <f>$D96-M88</f>
        <v>4.1110320839567352E-2</v>
      </c>
      <c r="N104" s="27">
        <f t="shared" si="41"/>
        <v>1.5210526315789475E-2</v>
      </c>
      <c r="O104" s="27">
        <f t="shared" si="41"/>
        <v>1.2781067251461992E-2</v>
      </c>
      <c r="P104" s="27">
        <f t="shared" si="41"/>
        <v>6.7602339181286556E-3</v>
      </c>
      <c r="Q104" s="27">
        <f t="shared" si="41"/>
        <v>1.6900584795321646E-3</v>
      </c>
      <c r="R104" s="27">
        <f t="shared" si="41"/>
        <v>0</v>
      </c>
      <c r="S104" s="27">
        <f t="shared" si="41"/>
        <v>4.2251461988304114E-4</v>
      </c>
      <c r="T104" s="27">
        <f t="shared" si="41"/>
        <v>0</v>
      </c>
      <c r="U104" s="27">
        <f t="shared" si="41"/>
        <v>1.0562865497076028E-4</v>
      </c>
      <c r="V104" s="27">
        <f t="shared" si="41"/>
        <v>0</v>
      </c>
      <c r="W104" s="27">
        <f t="shared" si="41"/>
        <v>4.2251461988304173E-4</v>
      </c>
      <c r="X104" s="27">
        <f t="shared" si="41"/>
        <v>3.8026315789473704E-3</v>
      </c>
      <c r="Y104" s="27">
        <f t="shared" si="41"/>
        <v>1.6900584795321656E-3</v>
      </c>
      <c r="Z104" s="5"/>
    </row>
    <row r="105" spans="1:26" ht="15.75" customHeight="1" x14ac:dyDescent="0.35">
      <c r="A105" s="12" t="s">
        <v>16</v>
      </c>
      <c r="B105" s="19">
        <f t="shared" ref="B105:M105" si="42">SQRT(SUM(N101:N104))</f>
        <v>0.15162361669975438</v>
      </c>
      <c r="C105" s="19">
        <f t="shared" si="42"/>
        <v>0.13651314966975436</v>
      </c>
      <c r="D105" s="19">
        <f t="shared" si="42"/>
        <v>0.11231654686386781</v>
      </c>
      <c r="E105" s="19">
        <f t="shared" si="42"/>
        <v>6.4896489590696063E-2</v>
      </c>
      <c r="F105" s="19">
        <f t="shared" si="42"/>
        <v>4.4457074680416007E-2</v>
      </c>
      <c r="G105" s="19">
        <f t="shared" si="42"/>
        <v>6.3647269717591159E-2</v>
      </c>
      <c r="H105" s="19">
        <f t="shared" si="42"/>
        <v>2.1198287098002859E-2</v>
      </c>
      <c r="I105" s="19">
        <f t="shared" si="42"/>
        <v>1.3025521150156542E-2</v>
      </c>
      <c r="J105" s="19">
        <f t="shared" si="42"/>
        <v>4.70253667590496E-2</v>
      </c>
      <c r="K105" s="19">
        <f t="shared" si="42"/>
        <v>3.4574779583416294E-2</v>
      </c>
      <c r="L105" s="19">
        <f t="shared" si="42"/>
        <v>7.3759048307112898E-2</v>
      </c>
      <c r="M105" s="19">
        <f t="shared" si="42"/>
        <v>4.1110320839567352E-2</v>
      </c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5"/>
    </row>
    <row r="106" spans="1:26" ht="15.75" customHeight="1" x14ac:dyDescent="0.35">
      <c r="A106" s="18"/>
      <c r="B106" s="19">
        <f>SUM(B105:D105)</f>
        <v>0.40045331323337657</v>
      </c>
      <c r="C106" s="20"/>
      <c r="D106" s="20"/>
      <c r="E106" s="19">
        <f>SUM(E105:G105)</f>
        <v>0.17300083398870322</v>
      </c>
      <c r="F106" s="20"/>
      <c r="G106" s="20"/>
      <c r="H106" s="19">
        <f>SUM(H105:J105)</f>
        <v>8.1249175007209004E-2</v>
      </c>
      <c r="I106" s="20"/>
      <c r="J106" s="20"/>
      <c r="K106" s="19">
        <f>SUM(K105:M105)</f>
        <v>0.14944414873009654</v>
      </c>
      <c r="L106" s="20"/>
      <c r="M106" s="20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5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5">
      <c r="A108" s="38" t="s">
        <v>17</v>
      </c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5">
      <c r="A109" s="33" t="s">
        <v>0</v>
      </c>
      <c r="B109" s="30" t="s">
        <v>1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2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5">
      <c r="A110" s="34"/>
      <c r="B110" s="35" t="s">
        <v>36</v>
      </c>
      <c r="C110" s="36"/>
      <c r="D110" s="37"/>
      <c r="E110" s="35" t="s">
        <v>35</v>
      </c>
      <c r="F110" s="36"/>
      <c r="G110" s="37"/>
      <c r="H110" s="35" t="s">
        <v>33</v>
      </c>
      <c r="I110" s="36"/>
      <c r="J110" s="37"/>
      <c r="K110" s="35" t="s">
        <v>34</v>
      </c>
      <c r="L110" s="36"/>
      <c r="M110" s="37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5">
      <c r="A111" s="14">
        <v>1</v>
      </c>
      <c r="B111" s="15">
        <f>$E93-B85</f>
        <v>0</v>
      </c>
      <c r="C111" s="15">
        <f>$F93-C85</f>
        <v>-1.3900546422342341E-2</v>
      </c>
      <c r="D111" s="15">
        <f>$G93-D85</f>
        <v>-2.7801092844684683E-2</v>
      </c>
      <c r="E111" s="15">
        <f>$E93-E85</f>
        <v>-2.7801092844684693E-2</v>
      </c>
      <c r="F111" s="15">
        <f>$F93-F85</f>
        <v>-1.3900546422342341E-2</v>
      </c>
      <c r="G111" s="15">
        <f>$G93-G85</f>
        <v>0</v>
      </c>
      <c r="H111" s="15">
        <f>$E93-H85</f>
        <v>-1.3900546422342352E-2</v>
      </c>
      <c r="I111" s="15">
        <f>$F93-I85</f>
        <v>-2.7801092844684704E-2</v>
      </c>
      <c r="J111" s="15">
        <f>$G93-J85</f>
        <v>0</v>
      </c>
      <c r="K111" s="15">
        <f>$E93-K85</f>
        <v>0</v>
      </c>
      <c r="L111" s="15">
        <f>$F93-L85</f>
        <v>0</v>
      </c>
      <c r="M111" s="15">
        <f>$G93-M85</f>
        <v>-4.1701639267027024E-2</v>
      </c>
      <c r="N111" s="6">
        <f t="shared" ref="N111:Y114" si="43">B111*B111</f>
        <v>0</v>
      </c>
      <c r="O111" s="6">
        <f t="shared" si="43"/>
        <v>1.9322519083969446E-4</v>
      </c>
      <c r="P111" s="6">
        <f t="shared" si="43"/>
        <v>7.7290076335877786E-4</v>
      </c>
      <c r="Q111" s="6">
        <f t="shared" si="43"/>
        <v>7.729007633587784E-4</v>
      </c>
      <c r="R111" s="6">
        <f t="shared" si="43"/>
        <v>1.9322519083969446E-4</v>
      </c>
      <c r="S111" s="6">
        <f t="shared" si="43"/>
        <v>0</v>
      </c>
      <c r="T111" s="6">
        <f t="shared" si="43"/>
        <v>1.9322519083969476E-4</v>
      </c>
      <c r="U111" s="6">
        <f t="shared" si="43"/>
        <v>7.7290076335877905E-4</v>
      </c>
      <c r="V111" s="6">
        <f t="shared" si="43"/>
        <v>0</v>
      </c>
      <c r="W111" s="6">
        <f t="shared" si="43"/>
        <v>0</v>
      </c>
      <c r="X111" s="6">
        <f t="shared" si="43"/>
        <v>0</v>
      </c>
      <c r="Y111" s="6">
        <f t="shared" si="43"/>
        <v>1.7390267175572502E-3</v>
      </c>
      <c r="Z111" s="5"/>
    </row>
    <row r="112" spans="1:26" ht="15.75" customHeight="1" x14ac:dyDescent="0.35">
      <c r="A112" s="14">
        <v>2</v>
      </c>
      <c r="B112" s="15">
        <f>$E94-B86</f>
        <v>-8.0022213330059218E-3</v>
      </c>
      <c r="C112" s="15">
        <f>$F94-C86</f>
        <v>-2.0005553332514806E-2</v>
      </c>
      <c r="D112" s="15">
        <f>$G94-D86</f>
        <v>-1.6004442666011837E-2</v>
      </c>
      <c r="E112" s="15">
        <f>$E94-E86</f>
        <v>0</v>
      </c>
      <c r="F112" s="15">
        <f>$F94-F86</f>
        <v>0</v>
      </c>
      <c r="G112" s="15">
        <f>$G94-G86</f>
        <v>0</v>
      </c>
      <c r="H112" s="15">
        <f>$E94-H86</f>
        <v>-3.2008885332023687E-2</v>
      </c>
      <c r="I112" s="15">
        <f>$F94-I86</f>
        <v>-2.8007774665520718E-2</v>
      </c>
      <c r="J112" s="15">
        <f>$G94-J86</f>
        <v>-1.6004442666011837E-2</v>
      </c>
      <c r="K112" s="15">
        <f>$E94-K86</f>
        <v>-4.8013327998035524E-2</v>
      </c>
      <c r="L112" s="15">
        <f>$F94-L86</f>
        <v>-3.6009995998526639E-2</v>
      </c>
      <c r="M112" s="15">
        <f>$G94-M86</f>
        <v>-3.200888533202368E-2</v>
      </c>
      <c r="N112" s="6">
        <f t="shared" si="43"/>
        <v>6.4035546262415069E-5</v>
      </c>
      <c r="O112" s="6">
        <f t="shared" si="43"/>
        <v>4.0022216414009425E-4</v>
      </c>
      <c r="P112" s="6">
        <f t="shared" si="43"/>
        <v>2.5614218504966006E-4</v>
      </c>
      <c r="Q112" s="6">
        <f t="shared" si="43"/>
        <v>0</v>
      </c>
      <c r="R112" s="6">
        <f t="shared" si="43"/>
        <v>0</v>
      </c>
      <c r="S112" s="6">
        <f t="shared" si="43"/>
        <v>0</v>
      </c>
      <c r="T112" s="6">
        <f t="shared" si="43"/>
        <v>1.0245687401986411E-3</v>
      </c>
      <c r="U112" s="6">
        <f t="shared" si="43"/>
        <v>7.8443544171458417E-4</v>
      </c>
      <c r="V112" s="6">
        <f t="shared" si="43"/>
        <v>2.5614218504966006E-4</v>
      </c>
      <c r="W112" s="6">
        <f t="shared" si="43"/>
        <v>2.3052796654469418E-3</v>
      </c>
      <c r="X112" s="6">
        <f t="shared" si="43"/>
        <v>1.2967198118139045E-3</v>
      </c>
      <c r="Y112" s="6">
        <f t="shared" si="43"/>
        <v>1.0245687401986407E-3</v>
      </c>
      <c r="Z112" s="5"/>
    </row>
    <row r="113" spans="1:26" ht="15.75" customHeight="1" x14ac:dyDescent="0.35">
      <c r="A113" s="14">
        <v>3</v>
      </c>
      <c r="B113" s="15">
        <f>$E95-B87</f>
        <v>0</v>
      </c>
      <c r="C113" s="15">
        <f>$F95-C87</f>
        <v>0</v>
      </c>
      <c r="D113" s="15">
        <f>$G95-D87</f>
        <v>0</v>
      </c>
      <c r="E113" s="15">
        <f>$E95-E87</f>
        <v>-5.8817169767504618E-2</v>
      </c>
      <c r="F113" s="15">
        <f>$F95-F87</f>
        <v>-5.1465023546566541E-2</v>
      </c>
      <c r="G113" s="15">
        <f>$G95-G87</f>
        <v>-4.4112877325628463E-2</v>
      </c>
      <c r="H113" s="15">
        <f>$E95-H87</f>
        <v>-7.3521462209380772E-2</v>
      </c>
      <c r="I113" s="15">
        <f>$F95-I87</f>
        <v>-7.3521462209380772E-2</v>
      </c>
      <c r="J113" s="15">
        <f>$G95-J87</f>
        <v>-5.8817169767504618E-2</v>
      </c>
      <c r="K113" s="15">
        <f>$E95-K87</f>
        <v>-7.3521462209380772E-2</v>
      </c>
      <c r="L113" s="15">
        <f>$F95-L87</f>
        <v>-4.4112877325628463E-2</v>
      </c>
      <c r="M113" s="15">
        <f>$G95-M87</f>
        <v>-7.3521462209380772E-2</v>
      </c>
      <c r="N113" s="6">
        <f t="shared" si="43"/>
        <v>0</v>
      </c>
      <c r="O113" s="6">
        <f t="shared" si="43"/>
        <v>0</v>
      </c>
      <c r="P113" s="6">
        <f t="shared" si="43"/>
        <v>0</v>
      </c>
      <c r="Q113" s="6">
        <f t="shared" si="43"/>
        <v>3.4594594594594594E-3</v>
      </c>
      <c r="R113" s="6">
        <f t="shared" si="43"/>
        <v>2.6486486486486487E-3</v>
      </c>
      <c r="S113" s="6">
        <f t="shared" si="43"/>
        <v>1.9459459459459458E-3</v>
      </c>
      <c r="T113" s="6">
        <f t="shared" si="43"/>
        <v>5.4054054054054048E-3</v>
      </c>
      <c r="U113" s="6">
        <f t="shared" si="43"/>
        <v>5.4054054054054048E-3</v>
      </c>
      <c r="V113" s="6">
        <f t="shared" si="43"/>
        <v>3.4594594594594594E-3</v>
      </c>
      <c r="W113" s="6">
        <f t="shared" si="43"/>
        <v>5.4054054054054048E-3</v>
      </c>
      <c r="X113" s="6">
        <f t="shared" si="43"/>
        <v>1.9459459459459458E-3</v>
      </c>
      <c r="Y113" s="6">
        <f t="shared" si="43"/>
        <v>5.4054054054054048E-3</v>
      </c>
      <c r="Z113" s="5"/>
    </row>
    <row r="114" spans="1:26" ht="15.75" customHeight="1" x14ac:dyDescent="0.35">
      <c r="A114" s="14">
        <v>4</v>
      </c>
      <c r="B114" s="17">
        <f>$E96-B88</f>
        <v>0</v>
      </c>
      <c r="C114" s="17">
        <f>$F96-C88</f>
        <v>0</v>
      </c>
      <c r="D114" s="17">
        <f>$G96-D88</f>
        <v>0</v>
      </c>
      <c r="E114" s="17">
        <f>$E96-E88</f>
        <v>-8.2220641679134648E-2</v>
      </c>
      <c r="F114" s="17">
        <f>$F96-F88</f>
        <v>-0.11305338230881017</v>
      </c>
      <c r="G114" s="17">
        <f>$G96-G88</f>
        <v>-6.1665481259350993E-2</v>
      </c>
      <c r="H114" s="17">
        <f>$E96-H88</f>
        <v>-0.12333096251870199</v>
      </c>
      <c r="I114" s="17">
        <f>$F96-I88</f>
        <v>-0.10277580209891833</v>
      </c>
      <c r="J114" s="17">
        <f>$G96-J88</f>
        <v>-8.2220641679134662E-2</v>
      </c>
      <c r="K114" s="17">
        <f>$E96-K88</f>
        <v>-0.1027758020989183</v>
      </c>
      <c r="L114" s="17">
        <f>$F96-L88</f>
        <v>-5.1387901049459159E-2</v>
      </c>
      <c r="M114" s="17">
        <f>$G96-M88</f>
        <v>-4.111032083956731E-2</v>
      </c>
      <c r="N114" s="6">
        <f t="shared" si="43"/>
        <v>0</v>
      </c>
      <c r="O114" s="6">
        <f t="shared" si="43"/>
        <v>0</v>
      </c>
      <c r="P114" s="6">
        <f t="shared" si="43"/>
        <v>0</v>
      </c>
      <c r="Q114" s="6">
        <f t="shared" si="43"/>
        <v>6.7602339181286539E-3</v>
      </c>
      <c r="R114" s="6">
        <f t="shared" si="43"/>
        <v>1.2781067251461992E-2</v>
      </c>
      <c r="S114" s="6">
        <f t="shared" si="43"/>
        <v>3.8026315789473687E-3</v>
      </c>
      <c r="T114" s="6">
        <f t="shared" si="43"/>
        <v>1.5210526315789475E-2</v>
      </c>
      <c r="U114" s="6">
        <f t="shared" si="43"/>
        <v>1.0562865497076026E-2</v>
      </c>
      <c r="V114" s="6">
        <f t="shared" si="43"/>
        <v>6.7602339181286556E-3</v>
      </c>
      <c r="W114" s="6">
        <f t="shared" si="43"/>
        <v>1.056286549707602E-2</v>
      </c>
      <c r="X114" s="6">
        <f t="shared" si="43"/>
        <v>2.6407163742690055E-3</v>
      </c>
      <c r="Y114" s="6">
        <f t="shared" si="43"/>
        <v>1.6900584795321624E-3</v>
      </c>
      <c r="Z114" s="5"/>
    </row>
    <row r="115" spans="1:26" ht="15.75" customHeight="1" x14ac:dyDescent="0.35">
      <c r="A115" s="12" t="s">
        <v>16</v>
      </c>
      <c r="B115" s="19">
        <f t="shared" ref="B115:M115" si="44">SQRT(SUM(N111:N114))</f>
        <v>8.0022213330059218E-3</v>
      </c>
      <c r="C115" s="19">
        <f t="shared" si="44"/>
        <v>2.4360774925683063E-2</v>
      </c>
      <c r="D115" s="19">
        <f t="shared" si="44"/>
        <v>3.2078699294211387E-2</v>
      </c>
      <c r="E115" s="19">
        <f t="shared" si="44"/>
        <v>0.10484557282473539</v>
      </c>
      <c r="F115" s="19">
        <f t="shared" si="44"/>
        <v>0.12499176409248065</v>
      </c>
      <c r="G115" s="19">
        <f t="shared" si="44"/>
        <v>7.5819374337258383E-2</v>
      </c>
      <c r="H115" s="19">
        <f t="shared" si="44"/>
        <v>0.14776239593426069</v>
      </c>
      <c r="I115" s="19">
        <f t="shared" si="44"/>
        <v>0.13238431594246652</v>
      </c>
      <c r="J115" s="19">
        <f t="shared" si="44"/>
        <v>0.10235152936149892</v>
      </c>
      <c r="K115" s="19">
        <f t="shared" si="44"/>
        <v>0.13517969732148524</v>
      </c>
      <c r="L115" s="19">
        <f t="shared" si="44"/>
        <v>7.6703208094765218E-2</v>
      </c>
      <c r="M115" s="19">
        <f t="shared" si="44"/>
        <v>9.929279602616424E-2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5"/>
    </row>
    <row r="116" spans="1:26" ht="15.75" customHeight="1" x14ac:dyDescent="0.35">
      <c r="A116" s="18"/>
      <c r="B116" s="19">
        <f>SUM(B115:D115)</f>
        <v>6.4441695552900372E-2</v>
      </c>
      <c r="C116" s="20"/>
      <c r="D116" s="20"/>
      <c r="E116" s="19">
        <f>SUM(E115:G115)</f>
        <v>0.30565671125447441</v>
      </c>
      <c r="F116" s="20"/>
      <c r="G116" s="20"/>
      <c r="H116" s="19">
        <f>SUM(H115:J115)</f>
        <v>0.38249824123822618</v>
      </c>
      <c r="I116" s="20"/>
      <c r="J116" s="20"/>
      <c r="K116" s="19">
        <f>SUM(K115:M115)</f>
        <v>0.31117570144241469</v>
      </c>
      <c r="L116" s="20"/>
      <c r="M116" s="2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5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5">
      <c r="A118" s="38" t="s">
        <v>18</v>
      </c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5">
      <c r="A119" s="33" t="s">
        <v>0</v>
      </c>
      <c r="B119" s="30" t="s">
        <v>1</v>
      </c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2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5">
      <c r="A120" s="34"/>
      <c r="B120" s="35" t="s">
        <v>36</v>
      </c>
      <c r="C120" s="36"/>
      <c r="D120" s="37"/>
      <c r="E120" s="35" t="s">
        <v>35</v>
      </c>
      <c r="F120" s="36"/>
      <c r="G120" s="37"/>
      <c r="H120" s="35" t="s">
        <v>33</v>
      </c>
      <c r="I120" s="36"/>
      <c r="J120" s="37"/>
      <c r="K120" s="35" t="s">
        <v>34</v>
      </c>
      <c r="L120" s="36"/>
      <c r="M120" s="3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5">
      <c r="A121" s="14" t="s">
        <v>19</v>
      </c>
      <c r="B121" s="44">
        <f>B116/(B106+B116)</f>
        <v>0.13861558918677425</v>
      </c>
      <c r="C121" s="36"/>
      <c r="D121" s="37"/>
      <c r="E121" s="44">
        <f>E116/(E106+E116)</f>
        <v>0.63857075751138181</v>
      </c>
      <c r="F121" s="36"/>
      <c r="G121" s="37"/>
      <c r="H121" s="44">
        <f>H116/(H106+H116)</f>
        <v>0.82479864650241319</v>
      </c>
      <c r="I121" s="36"/>
      <c r="J121" s="37"/>
      <c r="K121" s="44">
        <f>K116/(K106+K116)</f>
        <v>0.67555860071135287</v>
      </c>
      <c r="L121" s="36"/>
      <c r="M121" s="3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5">
      <c r="A122" s="21"/>
      <c r="B122" s="1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5">
      <c r="A123" s="21"/>
      <c r="B123" s="1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5">
      <c r="A124" s="29" t="s">
        <v>20</v>
      </c>
      <c r="B124" s="42">
        <f>RANK(B121,$B121:$M121)</f>
        <v>4</v>
      </c>
      <c r="C124" s="36"/>
      <c r="D124" s="37"/>
      <c r="E124" s="42">
        <f>RANK(E121,$B121:$M121)</f>
        <v>3</v>
      </c>
      <c r="F124" s="36"/>
      <c r="G124" s="37"/>
      <c r="H124" s="42">
        <f>RANK(H121,$B121:$M121)</f>
        <v>1</v>
      </c>
      <c r="I124" s="36"/>
      <c r="J124" s="37"/>
      <c r="K124" s="42">
        <f>RANK(K121,$B121:$M121)</f>
        <v>2</v>
      </c>
      <c r="L124" s="36"/>
      <c r="M124" s="37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Z125" s="5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92">
    <mergeCell ref="A82:M82"/>
    <mergeCell ref="K84:M84"/>
    <mergeCell ref="A1:A2"/>
    <mergeCell ref="E40:G40"/>
    <mergeCell ref="H40:J40"/>
    <mergeCell ref="K40:M40"/>
    <mergeCell ref="A39:A40"/>
    <mergeCell ref="A46:B46"/>
    <mergeCell ref="A38:M38"/>
    <mergeCell ref="B39:M39"/>
    <mergeCell ref="B40:D40"/>
    <mergeCell ref="B55:D55"/>
    <mergeCell ref="E55:G55"/>
    <mergeCell ref="H55:J55"/>
    <mergeCell ref="K55:M55"/>
    <mergeCell ref="A54:A55"/>
    <mergeCell ref="A53:M53"/>
    <mergeCell ref="B54:M54"/>
    <mergeCell ref="A21:A23"/>
    <mergeCell ref="B1:E1"/>
    <mergeCell ref="F1:F2"/>
    <mergeCell ref="A3:F3"/>
    <mergeCell ref="A12:F12"/>
    <mergeCell ref="A20:M20"/>
    <mergeCell ref="B21:M21"/>
    <mergeCell ref="A6:F6"/>
    <mergeCell ref="A9:F9"/>
    <mergeCell ref="N21:N23"/>
    <mergeCell ref="B22:D22"/>
    <mergeCell ref="E22:G22"/>
    <mergeCell ref="H22:J22"/>
    <mergeCell ref="K22:M22"/>
    <mergeCell ref="N67:N68"/>
    <mergeCell ref="B68:D68"/>
    <mergeCell ref="E68:G68"/>
    <mergeCell ref="A74:M74"/>
    <mergeCell ref="K63:M63"/>
    <mergeCell ref="H68:J68"/>
    <mergeCell ref="K68:M68"/>
    <mergeCell ref="A67:A68"/>
    <mergeCell ref="B63:D63"/>
    <mergeCell ref="E63:G63"/>
    <mergeCell ref="H63:J63"/>
    <mergeCell ref="B76:D76"/>
    <mergeCell ref="A75:A76"/>
    <mergeCell ref="A66:M66"/>
    <mergeCell ref="B67:M67"/>
    <mergeCell ref="E76:G76"/>
    <mergeCell ref="H76:J76"/>
    <mergeCell ref="K76:M76"/>
    <mergeCell ref="R38:T39"/>
    <mergeCell ref="B124:D124"/>
    <mergeCell ref="K124:M124"/>
    <mergeCell ref="O38:Q39"/>
    <mergeCell ref="B120:D120"/>
    <mergeCell ref="K120:M120"/>
    <mergeCell ref="E124:G124"/>
    <mergeCell ref="H124:J124"/>
    <mergeCell ref="E120:G120"/>
    <mergeCell ref="H120:J120"/>
    <mergeCell ref="B121:D121"/>
    <mergeCell ref="E121:G121"/>
    <mergeCell ref="H121:J121"/>
    <mergeCell ref="K121:M121"/>
    <mergeCell ref="B110:D110"/>
    <mergeCell ref="B75:M75"/>
    <mergeCell ref="E110:G110"/>
    <mergeCell ref="H110:J110"/>
    <mergeCell ref="K110:M110"/>
    <mergeCell ref="A118:M118"/>
    <mergeCell ref="B119:M119"/>
    <mergeCell ref="B100:D100"/>
    <mergeCell ref="E100:G100"/>
    <mergeCell ref="H100:J100"/>
    <mergeCell ref="K100:M100"/>
    <mergeCell ref="A108:M108"/>
    <mergeCell ref="B109:M109"/>
    <mergeCell ref="A83:A84"/>
    <mergeCell ref="A99:A100"/>
    <mergeCell ref="A109:A110"/>
    <mergeCell ref="A119:A120"/>
    <mergeCell ref="B84:D84"/>
    <mergeCell ref="E84:G84"/>
    <mergeCell ref="A90:G90"/>
    <mergeCell ref="B91:G91"/>
    <mergeCell ref="A98:M98"/>
    <mergeCell ref="B99:M99"/>
    <mergeCell ref="B83:M83"/>
    <mergeCell ref="B92:D92"/>
    <mergeCell ref="E92:G92"/>
    <mergeCell ref="A91:A92"/>
    <mergeCell ref="H84:J8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TOPSIS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izbranny izbranny</cp:lastModifiedBy>
  <dcterms:created xsi:type="dcterms:W3CDTF">2026-01-14T11:47:53Z</dcterms:created>
  <dcterms:modified xsi:type="dcterms:W3CDTF">2026-01-14T12:08:18Z</dcterms:modified>
</cp:coreProperties>
</file>